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tical" sheetId="1" state="visible" r:id="rId2"/>
    <sheet name="Horizont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<sst xmlns="http://schemas.openxmlformats.org/spreadsheetml/2006/main" count="94" uniqueCount="52">
  <si>
    <t xml:space="preserve">Income Statement</t>
  </si>
  <si>
    <t xml:space="preserve">Net Revenue</t>
  </si>
  <si>
    <t xml:space="preserve">Cost of Goods Sold</t>
  </si>
  <si>
    <t xml:space="preserve">1. Cost of goods sold has increased which is reflecting in the reduction in net income.</t>
  </si>
  <si>
    <t xml:space="preserve">Gross Profit</t>
  </si>
  <si>
    <t xml:space="preserve">2. Reduction is salaries is counterbalanced by increase in Rent, marketing and Depreciation.</t>
  </si>
  <si>
    <t xml:space="preserve">Operating Expenses:</t>
  </si>
  <si>
    <t xml:space="preserve">(-) Salaries</t>
  </si>
  <si>
    <t xml:space="preserve">(-) Rent</t>
  </si>
  <si>
    <t xml:space="preserve">(-) Marketing</t>
  </si>
  <si>
    <t xml:space="preserve">(-) Depreciation</t>
  </si>
  <si>
    <t xml:space="preserve">Operating Income</t>
  </si>
  <si>
    <t xml:space="preserve">Non(-)Operating Items:</t>
  </si>
  <si>
    <t xml:space="preserve">(-) Interest Expense</t>
  </si>
  <si>
    <t xml:space="preserve">(-) Loss on Asset Sale</t>
  </si>
  <si>
    <t xml:space="preserve">Pre-Tax Income</t>
  </si>
  <si>
    <t xml:space="preserve">(-) Income Tax Paid (25%)</t>
  </si>
  <si>
    <t xml:space="preserve">Net Income</t>
  </si>
  <si>
    <t xml:space="preserve"> Balance Sheet</t>
  </si>
  <si>
    <t xml:space="preserve">Assets</t>
  </si>
  <si>
    <t xml:space="preserve">Current Assets:</t>
  </si>
  <si>
    <t xml:space="preserve">(-) Cash</t>
  </si>
  <si>
    <t xml:space="preserve">(-) Accounts Receivable</t>
  </si>
  <si>
    <t xml:space="preserve">(-) Inventory</t>
  </si>
  <si>
    <t xml:space="preserve">(-) Prepaid Expenses</t>
  </si>
  <si>
    <t xml:space="preserve">Total Current Assets</t>
  </si>
  <si>
    <t xml:space="preserve">Non(-)Current Assets:</t>
  </si>
  <si>
    <t xml:space="preserve">(-) PPE (Gross)</t>
  </si>
  <si>
    <t xml:space="preserve">(-) Accumulated Depreciation</t>
  </si>
  <si>
    <t xml:space="preserve">Net PPE</t>
  </si>
  <si>
    <t xml:space="preserve">(-) Long(-)term Investments</t>
  </si>
  <si>
    <t xml:space="preserve">Total Assets</t>
  </si>
  <si>
    <t xml:space="preserve">Liabilities &amp; Equity</t>
  </si>
  <si>
    <t xml:space="preserve">Current Liabilities:</t>
  </si>
  <si>
    <t xml:space="preserve">(-) Accounts Payable</t>
  </si>
  <si>
    <t xml:space="preserve">(-) Tax Payable</t>
  </si>
  <si>
    <t xml:space="preserve">Non(-)Current Liabilities</t>
  </si>
  <si>
    <t xml:space="preserve">(-) Long-term Debt</t>
  </si>
  <si>
    <t xml:space="preserve">(-) Deferred Tax Liability</t>
  </si>
  <si>
    <t xml:space="preserve">Total Liabilities</t>
  </si>
  <si>
    <t xml:space="preserve">Equity</t>
  </si>
  <si>
    <t xml:space="preserve">(-) Common Stock</t>
  </si>
  <si>
    <t xml:space="preserve">(-) Retained Earnings</t>
  </si>
  <si>
    <t xml:space="preserve">Total Equity</t>
  </si>
  <si>
    <t xml:space="preserve"> Total Liabilities &amp; Equity </t>
  </si>
  <si>
    <t xml:space="preserve">Percentage Changes</t>
  </si>
  <si>
    <t xml:space="preserve">1. Net income has reduced by 80%, likely due to substantial increase in the Marketing cost, which has resulted in increase in Net revenue but that hasn’t kept up with the production cost.</t>
  </si>
  <si>
    <t xml:space="preserve">2. Interest expenses have increased by 100% which is due to increase in Long term Debt.</t>
  </si>
  <si>
    <t xml:space="preserve"> </t>
  </si>
  <si>
    <t xml:space="preserve">Pre(-)Tax Income</t>
  </si>
  <si>
    <t xml:space="preserve">1. Cash has reduced which is reflecting in increase in Accounts receivables and Inventory.</t>
  </si>
  <si>
    <t xml:space="preserve">2. Total Liabilities have increase by 60% which is due to a huge increase in Long term debt.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</si>
</sst>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 &quot;₹ &quot;* #,##0.00_ ;_ &quot;₹ &quot;* \-#,##0.00_ ;_ &quot;₹ &quot;* \-??_ ;_ @_ "/>
    <numFmt numFmtId="166" formatCode="0%"/>
    <numFmt numFmtId="167" formatCode="#,##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D9D9D9"/>
        <bgColor rgb="FFDDDDDD"/>
      </patternFill>
    </fill>
    <fill>
      <patternFill patternType="solid">
        <fgColor rgb="FFDDDDDD"/>
        <bgColor rgb="FFD9D9D9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9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5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G7" activeCellId="0" sqref="G7"/>
    </sheetView>
  </sheetViews>
  <sheetFormatPr defaultColWidth="8.5390625" defaultRowHeight="14.25" zeroHeight="false" outlineLevelRow="0" outlineLevelCol="0"/>
  <cols>
    <col collapsed="false" customWidth="true" hidden="false" outlineLevel="0" max="2" min="2" style="0" width="38.11"/>
    <col collapsed="false" customWidth="true" hidden="false" outlineLevel="0" max="3" min="3" style="0" width="16.11"/>
    <col collapsed="false" customWidth="true" hidden="false" outlineLevel="0" max="4" min="4" style="0" width="20.77"/>
    <col collapsed="false" customWidth="true" hidden="false" outlineLevel="0" max="6" min="5" style="0" width="14.44"/>
    <col collapsed="false" customWidth="true" hidden="false" outlineLevel="0" max="8" min="7" style="0" width="12.66"/>
  </cols>
  <sheetData>
    <row r="1" customFormat="false" ht="15" hidden="false" customHeight="false" outlineLevel="0" collapsed="false"/>
    <row r="2" customFormat="false" ht="27" hidden="false" customHeight="true" outlineLevel="0" collapsed="false">
      <c r="B2" s="1" t="s">
        <v>0</v>
      </c>
      <c r="C2" s="1"/>
      <c r="D2" s="1"/>
    </row>
    <row r="3" s="2" customFormat="true" ht="20.25" hidden="false" customHeight="true" outlineLevel="0" collapsed="false">
      <c r="B3" s="3"/>
      <c r="C3" s="4" t="n">
        <v>2010</v>
      </c>
      <c r="D3" s="5" t="n">
        <v>2011</v>
      </c>
    </row>
    <row r="4" s="2" customFormat="true" ht="20.25" hidden="false" customHeight="true" outlineLevel="0" collapsed="false">
      <c r="B4" s="6" t="s">
        <v>1</v>
      </c>
      <c r="C4" s="7" t="n">
        <v>244036</v>
      </c>
      <c r="D4" s="8" t="n">
        <v>317247</v>
      </c>
      <c r="E4" s="9" t="n">
        <f aca="false">C4/$C$4</f>
        <v>1</v>
      </c>
      <c r="F4" s="9" t="n">
        <f aca="false">D4/$D$4</f>
        <v>1</v>
      </c>
      <c r="H4" s="10"/>
    </row>
    <row r="5" s="2" customFormat="true" ht="20.25" hidden="false" customHeight="true" outlineLevel="0" collapsed="false">
      <c r="B5" s="6" t="s">
        <v>2</v>
      </c>
      <c r="C5" s="7" t="n">
        <v>154128</v>
      </c>
      <c r="D5" s="8" t="n">
        <v>221945</v>
      </c>
      <c r="E5" s="9" t="n">
        <f aca="false">C5/$C$4</f>
        <v>0.631578947368421</v>
      </c>
      <c r="F5" s="9" t="n">
        <f aca="false">D5/$D$4</f>
        <v>0.699596844099393</v>
      </c>
      <c r="G5" s="2" t="s">
        <v>3</v>
      </c>
      <c r="H5" s="10"/>
    </row>
    <row r="6" s="2" customFormat="true" ht="20.25" hidden="false" customHeight="true" outlineLevel="0" collapsed="false">
      <c r="B6" s="11" t="s">
        <v>4</v>
      </c>
      <c r="C6" s="12" t="n">
        <v>89908</v>
      </c>
      <c r="D6" s="13" t="n">
        <v>95302</v>
      </c>
      <c r="E6" s="9" t="n">
        <f aca="false">C6/$C$4</f>
        <v>0.368421052631579</v>
      </c>
      <c r="F6" s="9" t="n">
        <f aca="false">D6/$D$4</f>
        <v>0.300403155900607</v>
      </c>
      <c r="G6" s="2" t="s">
        <v>5</v>
      </c>
    </row>
    <row r="7" s="2" customFormat="true" ht="20.25" hidden="false" customHeight="true" outlineLevel="0" collapsed="false">
      <c r="B7" s="14" t="s">
        <v>6</v>
      </c>
      <c r="C7" s="15"/>
      <c r="D7" s="16"/>
      <c r="E7" s="9" t="n">
        <f aca="false">C7/$C$4</f>
        <v>0</v>
      </c>
      <c r="F7" s="9" t="n">
        <f aca="false">D7/$D$4</f>
        <v>0</v>
      </c>
    </row>
    <row r="8" s="2" customFormat="true" ht="20.25" hidden="false" customHeight="true" outlineLevel="0" collapsed="false">
      <c r="B8" s="6" t="s">
        <v>7</v>
      </c>
      <c r="C8" s="7" t="n">
        <v>35963</v>
      </c>
      <c r="D8" s="8" t="n">
        <v>32367</v>
      </c>
      <c r="E8" s="9" t="n">
        <f aca="false">C8/$C$4</f>
        <v>0.147367601501418</v>
      </c>
      <c r="F8" s="9" t="n">
        <f aca="false">D8/$D$4</f>
        <v>0.102024605433621</v>
      </c>
    </row>
    <row r="9" s="2" customFormat="true" ht="20.25" hidden="false" customHeight="true" outlineLevel="0" collapsed="false">
      <c r="B9" s="6" t="s">
        <v>8</v>
      </c>
      <c r="C9" s="7" t="n">
        <v>15413</v>
      </c>
      <c r="D9" s="8" t="n">
        <v>21580</v>
      </c>
      <c r="E9" s="9" t="n">
        <f aca="false">C9/$C$4</f>
        <v>0.0631587142880559</v>
      </c>
      <c r="F9" s="9" t="n">
        <f aca="false">D9/$D$4</f>
        <v>0.0680227078585456</v>
      </c>
    </row>
    <row r="10" s="2" customFormat="true" ht="20.25" hidden="false" customHeight="true" outlineLevel="0" collapsed="false">
      <c r="B10" s="6" t="s">
        <v>9</v>
      </c>
      <c r="C10" s="7" t="n">
        <v>7706</v>
      </c>
      <c r="D10" s="8" t="n">
        <v>15412</v>
      </c>
      <c r="E10" s="9" t="n">
        <f aca="false">C10/$C$4</f>
        <v>0.0315773082659935</v>
      </c>
      <c r="F10" s="9" t="n">
        <f aca="false">D10/$D$4</f>
        <v>0.0485804436290966</v>
      </c>
    </row>
    <row r="11" s="2" customFormat="true" ht="20.25" hidden="false" customHeight="true" outlineLevel="0" collapsed="false">
      <c r="B11" s="6" t="s">
        <v>10</v>
      </c>
      <c r="C11" s="7" t="n">
        <v>12284</v>
      </c>
      <c r="D11" s="8" t="n">
        <v>14115</v>
      </c>
      <c r="E11" s="9" t="n">
        <f aca="false">C11/$C$4</f>
        <v>0.0503368355488535</v>
      </c>
      <c r="F11" s="9" t="n">
        <f aca="false">D11/$D$4</f>
        <v>0.0444921464978392</v>
      </c>
    </row>
    <row r="12" s="2" customFormat="true" ht="20.25" hidden="false" customHeight="true" outlineLevel="0" collapsed="false">
      <c r="B12" s="11" t="s">
        <v>11</v>
      </c>
      <c r="C12" s="12" t="n">
        <v>18342</v>
      </c>
      <c r="D12" s="13" t="n">
        <v>11828</v>
      </c>
      <c r="E12" s="9" t="n">
        <f aca="false">C12/$C$4</f>
        <v>0.0751610418135029</v>
      </c>
      <c r="F12" s="9" t="n">
        <f aca="false">D12/$D$4</f>
        <v>0.0372832524815049</v>
      </c>
      <c r="G12" s="10"/>
    </row>
    <row r="13" s="2" customFormat="true" ht="20.25" hidden="false" customHeight="true" outlineLevel="0" collapsed="false">
      <c r="B13" s="17" t="s">
        <v>12</v>
      </c>
      <c r="C13" s="18"/>
      <c r="D13" s="19"/>
      <c r="E13" s="9" t="n">
        <f aca="false">C13/$C$4</f>
        <v>0</v>
      </c>
      <c r="F13" s="9" t="n">
        <f aca="false">D13/$D$4</f>
        <v>0</v>
      </c>
      <c r="G13" s="10"/>
    </row>
    <row r="14" s="2" customFormat="true" ht="20.25" hidden="false" customHeight="true" outlineLevel="0" collapsed="false">
      <c r="B14" s="6" t="s">
        <v>13</v>
      </c>
      <c r="C14" s="7" t="n">
        <v>2569</v>
      </c>
      <c r="D14" s="8" t="n">
        <v>5138</v>
      </c>
      <c r="E14" s="9" t="n">
        <f aca="false">C14/$C$4</f>
        <v>0.0105271353406874</v>
      </c>
      <c r="F14" s="9" t="n">
        <f aca="false">D14/$D$4</f>
        <v>0.0161955826217427</v>
      </c>
    </row>
    <row r="15" s="2" customFormat="true" ht="20.25" hidden="false" customHeight="true" outlineLevel="0" collapsed="false">
      <c r="B15" s="6" t="s">
        <v>14</v>
      </c>
      <c r="C15" s="7"/>
      <c r="D15" s="8" t="n">
        <v>3500</v>
      </c>
      <c r="E15" s="9" t="n">
        <f aca="false">C15/$C$4</f>
        <v>0</v>
      </c>
      <c r="F15" s="9" t="n">
        <f aca="false">D15/$D$4</f>
        <v>0.0110324132300699</v>
      </c>
    </row>
    <row r="16" s="2" customFormat="true" ht="20.25" hidden="false" customHeight="true" outlineLevel="0" collapsed="false">
      <c r="B16" s="6" t="s">
        <v>15</v>
      </c>
      <c r="C16" s="7" t="n">
        <f aca="false">C12-C14</f>
        <v>15773</v>
      </c>
      <c r="D16" s="8" t="n">
        <f aca="false">D12-D14-D15</f>
        <v>3190</v>
      </c>
      <c r="E16" s="9" t="n">
        <f aca="false">C16/$C$4</f>
        <v>0.0646339064728155</v>
      </c>
      <c r="F16" s="9" t="n">
        <f aca="false">D16/$D$4</f>
        <v>0.0100552566296923</v>
      </c>
    </row>
    <row r="17" s="2" customFormat="true" ht="20.25" hidden="false" customHeight="true" outlineLevel="0" collapsed="false">
      <c r="B17" s="6" t="s">
        <v>16</v>
      </c>
      <c r="C17" s="7" t="n">
        <f aca="false">C16*25%</f>
        <v>3943.25</v>
      </c>
      <c r="D17" s="8" t="n">
        <f aca="false">D16*25%</f>
        <v>797.5</v>
      </c>
      <c r="E17" s="9" t="n">
        <f aca="false">C17/$C$4</f>
        <v>0.0161584766182039</v>
      </c>
      <c r="F17" s="9" t="n">
        <f aca="false">D17/$D$4</f>
        <v>0.00251381415742308</v>
      </c>
      <c r="G17" s="10"/>
    </row>
    <row r="18" s="2" customFormat="true" ht="20.25" hidden="false" customHeight="true" outlineLevel="0" collapsed="false">
      <c r="B18" s="11" t="s">
        <v>17</v>
      </c>
      <c r="C18" s="12" t="n">
        <f aca="false">C16-C17</f>
        <v>11829.75</v>
      </c>
      <c r="D18" s="13" t="n">
        <f aca="false">D16-D17</f>
        <v>2392.5</v>
      </c>
      <c r="E18" s="9" t="n">
        <f aca="false">C18/$C$4</f>
        <v>0.0484754298546116</v>
      </c>
      <c r="F18" s="9" t="n">
        <f aca="false">D18/$D$4</f>
        <v>0.00754144247226924</v>
      </c>
      <c r="G18" s="10"/>
    </row>
    <row r="19" s="2" customFormat="true" ht="20.25" hidden="false" customHeight="true" outlineLevel="0" collapsed="false">
      <c r="E19" s="9"/>
      <c r="F19" s="20"/>
      <c r="G19" s="10"/>
    </row>
    <row r="20" s="2" customFormat="true" ht="24" hidden="false" customHeight="true" outlineLevel="0" collapsed="false">
      <c r="B20" s="21" t="s">
        <v>18</v>
      </c>
      <c r="C20" s="21"/>
      <c r="D20" s="21"/>
      <c r="E20" s="9"/>
    </row>
    <row r="21" s="2" customFormat="true" ht="20.25" hidden="false" customHeight="true" outlineLevel="0" collapsed="false">
      <c r="B21" s="3" t="s">
        <v>19</v>
      </c>
      <c r="C21" s="4" t="n">
        <v>2010</v>
      </c>
      <c r="D21" s="5" t="n">
        <v>2011</v>
      </c>
      <c r="E21" s="9"/>
    </row>
    <row r="22" s="2" customFormat="true" ht="20.25" hidden="false" customHeight="true" outlineLevel="0" collapsed="false">
      <c r="B22" s="22" t="s">
        <v>20</v>
      </c>
      <c r="C22" s="23"/>
      <c r="D22" s="24"/>
      <c r="E22" s="9"/>
    </row>
    <row r="23" s="2" customFormat="true" ht="20.25" hidden="false" customHeight="true" outlineLevel="0" collapsed="false">
      <c r="B23" s="6" t="s">
        <v>21</v>
      </c>
      <c r="C23" s="7" t="n">
        <v>35963</v>
      </c>
      <c r="D23" s="8" t="n">
        <v>25174</v>
      </c>
      <c r="E23" s="9" t="n">
        <f aca="false">C23/$C$46</f>
        <v>0.17902727996814</v>
      </c>
      <c r="F23" s="9" t="n">
        <f aca="false">D23/$D$46</f>
        <v>0.105264918523598</v>
      </c>
    </row>
    <row r="24" s="2" customFormat="true" ht="20.25" hidden="false" customHeight="true" outlineLevel="0" collapsed="false">
      <c r="B24" s="6" t="s">
        <v>22</v>
      </c>
      <c r="C24" s="7" t="n">
        <v>23119</v>
      </c>
      <c r="D24" s="8" t="n">
        <v>34679</v>
      </c>
      <c r="E24" s="9" t="n">
        <f aca="false">C24/$C$46</f>
        <v>0.115088610115492</v>
      </c>
      <c r="F24" s="9" t="n">
        <f aca="false">D24/$D$46</f>
        <v>0.145010014677042</v>
      </c>
    </row>
    <row r="25" s="2" customFormat="true" ht="20.25" hidden="false" customHeight="true" outlineLevel="0" collapsed="false">
      <c r="B25" s="6" t="s">
        <v>23</v>
      </c>
      <c r="C25" s="7" t="n">
        <v>18495</v>
      </c>
      <c r="D25" s="8" t="n">
        <v>25893</v>
      </c>
      <c r="E25" s="9" t="n">
        <f aca="false">C25/$C$46</f>
        <v>0.0920698924731183</v>
      </c>
      <c r="F25" s="9" t="n">
        <f aca="false">D25/$D$46</f>
        <v>0.108271412383075</v>
      </c>
    </row>
    <row r="26" s="2" customFormat="true" ht="20.25" hidden="false" customHeight="true" outlineLevel="0" collapsed="false">
      <c r="B26" s="6" t="s">
        <v>24</v>
      </c>
      <c r="C26" s="7" t="n">
        <v>5138</v>
      </c>
      <c r="D26" s="8" t="n">
        <v>8221</v>
      </c>
      <c r="E26" s="9" t="n">
        <f aca="false">C26/$C$46</f>
        <v>0.0255774591796097</v>
      </c>
      <c r="F26" s="9" t="n">
        <f aca="false">D26/$D$46</f>
        <v>0.0343760584405538</v>
      </c>
    </row>
    <row r="27" s="2" customFormat="true" ht="20.25" hidden="false" customHeight="true" outlineLevel="0" collapsed="false">
      <c r="B27" s="11" t="s">
        <v>25</v>
      </c>
      <c r="C27" s="12" t="n">
        <v>82715</v>
      </c>
      <c r="D27" s="13" t="n">
        <v>93967</v>
      </c>
      <c r="E27" s="9" t="n">
        <f aca="false">C27/$C$46</f>
        <v>0.41176324173636</v>
      </c>
      <c r="F27" s="9" t="n">
        <f aca="false">D27/$D$46</f>
        <v>0.392922404024269</v>
      </c>
    </row>
    <row r="28" s="2" customFormat="true" ht="20.25" hidden="false" customHeight="true" outlineLevel="0" collapsed="false">
      <c r="B28" s="14" t="s">
        <v>26</v>
      </c>
      <c r="C28" s="15"/>
      <c r="D28" s="16"/>
      <c r="E28" s="9" t="n">
        <f aca="false">C28/$C$46</f>
        <v>0</v>
      </c>
      <c r="F28" s="9" t="n">
        <f aca="false">D28/$D$46</f>
        <v>0</v>
      </c>
    </row>
    <row r="29" s="2" customFormat="true" ht="20.25" hidden="false" customHeight="true" outlineLevel="0" collapsed="false">
      <c r="B29" s="6" t="s">
        <v>27</v>
      </c>
      <c r="C29" s="7" t="n">
        <v>154128</v>
      </c>
      <c r="D29" s="8" t="n">
        <v>198345</v>
      </c>
      <c r="E29" s="9" t="n">
        <f aca="false">C29/$C$46</f>
        <v>0.76726403823178</v>
      </c>
      <c r="F29" s="9" t="n">
        <f aca="false">D29/$D$46</f>
        <v>0.829378337354536</v>
      </c>
    </row>
    <row r="30" s="2" customFormat="true" ht="20.25" hidden="false" customHeight="true" outlineLevel="0" collapsed="false">
      <c r="B30" s="6" t="s">
        <v>28</v>
      </c>
      <c r="C30" s="7" t="n">
        <v>-51376</v>
      </c>
      <c r="D30" s="8" t="n">
        <v>-65493</v>
      </c>
      <c r="E30" s="9" t="n">
        <f aca="false">C30/$C$46</f>
        <v>-0.255754679410593</v>
      </c>
      <c r="F30" s="9" t="n">
        <f aca="false">D30/$D$46</f>
        <v>-0.273858556799318</v>
      </c>
    </row>
    <row r="31" s="2" customFormat="true" ht="20.25" hidden="false" customHeight="true" outlineLevel="0" collapsed="false">
      <c r="B31" s="6" t="s">
        <v>29</v>
      </c>
      <c r="C31" s="7" t="n">
        <v>102752</v>
      </c>
      <c r="D31" s="8" t="n">
        <v>132852</v>
      </c>
      <c r="E31" s="9" t="n">
        <f aca="false">C31/$C$46</f>
        <v>0.511509358821187</v>
      </c>
      <c r="F31" s="9" t="n">
        <f aca="false">D31/$D$46</f>
        <v>0.555519780555219</v>
      </c>
    </row>
    <row r="32" s="2" customFormat="true" ht="20.25" hidden="false" customHeight="true" outlineLevel="0" collapsed="false">
      <c r="B32" s="6" t="s">
        <v>30</v>
      </c>
      <c r="C32" s="7" t="n">
        <v>15413</v>
      </c>
      <c r="D32" s="8" t="n">
        <v>12330</v>
      </c>
      <c r="E32" s="9" t="n">
        <f aca="false">C32/$C$46</f>
        <v>0.0767273994424532</v>
      </c>
      <c r="F32" s="9" t="n">
        <f aca="false">D32/$D$46</f>
        <v>0.0515578154205119</v>
      </c>
    </row>
    <row r="33" s="2" customFormat="true" ht="20.25" hidden="false" customHeight="true" outlineLevel="0" collapsed="false">
      <c r="B33" s="11" t="s">
        <v>31</v>
      </c>
      <c r="C33" s="12" t="n">
        <v>200880</v>
      </c>
      <c r="D33" s="13" t="n">
        <v>239149</v>
      </c>
      <c r="E33" s="9" t="n">
        <f aca="false">C33/$C$46</f>
        <v>1</v>
      </c>
      <c r="F33" s="9" t="n">
        <f aca="false">D33/$D$46</f>
        <v>1</v>
      </c>
    </row>
    <row r="34" s="2" customFormat="true" ht="20.25" hidden="false" customHeight="true" outlineLevel="0" collapsed="false">
      <c r="B34" s="25" t="s">
        <v>32</v>
      </c>
      <c r="C34" s="15"/>
      <c r="D34" s="16"/>
      <c r="E34" s="9" t="n">
        <f aca="false">C34/$C$46</f>
        <v>0</v>
      </c>
      <c r="F34" s="9" t="n">
        <f aca="false">D34/$D$46</f>
        <v>0</v>
      </c>
    </row>
    <row r="35" s="2" customFormat="true" ht="20.25" hidden="false" customHeight="true" outlineLevel="0" collapsed="false">
      <c r="B35" s="26" t="s">
        <v>33</v>
      </c>
      <c r="C35" s="7"/>
      <c r="D35" s="8"/>
      <c r="E35" s="9" t="n">
        <f aca="false">C35/$C$46</f>
        <v>0</v>
      </c>
      <c r="F35" s="9" t="n">
        <f aca="false">D35/$D$46</f>
        <v>0</v>
      </c>
    </row>
    <row r="36" s="2" customFormat="true" ht="20.25" hidden="false" customHeight="true" outlineLevel="0" collapsed="false">
      <c r="B36" s="6" t="s">
        <v>34</v>
      </c>
      <c r="C36" s="7" t="n">
        <v>23119</v>
      </c>
      <c r="D36" s="8" t="n">
        <v>34679</v>
      </c>
      <c r="E36" s="9" t="n">
        <f aca="false">C36/$C$46</f>
        <v>0.115088610115492</v>
      </c>
      <c r="F36" s="9" t="n">
        <f aca="false">D36/$D$46</f>
        <v>0.145010014677042</v>
      </c>
    </row>
    <row r="37" s="2" customFormat="true" ht="20.25" hidden="false" customHeight="true" outlineLevel="0" collapsed="false">
      <c r="B37" s="6" t="s">
        <v>35</v>
      </c>
      <c r="C37" s="7" t="n">
        <v>3943</v>
      </c>
      <c r="D37" s="8" t="n">
        <v>2800</v>
      </c>
      <c r="E37" s="9" t="n">
        <f aca="false">C37/$C$46</f>
        <v>0.0196286340103544</v>
      </c>
      <c r="F37" s="9" t="n">
        <f aca="false">D37/$D$46</f>
        <v>0.0117081819284212</v>
      </c>
    </row>
    <row r="38" s="2" customFormat="true" ht="20.25" hidden="false" customHeight="true" outlineLevel="0" collapsed="false">
      <c r="B38" s="26" t="s">
        <v>36</v>
      </c>
      <c r="C38" s="7"/>
      <c r="D38" s="8"/>
      <c r="E38" s="9" t="n">
        <f aca="false">C38/$C$46</f>
        <v>0</v>
      </c>
      <c r="F38" s="9" t="n">
        <f aca="false">D38/$D$46</f>
        <v>0</v>
      </c>
      <c r="G38" s="10"/>
    </row>
    <row r="39" s="2" customFormat="true" ht="20.25" hidden="false" customHeight="true" outlineLevel="0" collapsed="false">
      <c r="B39" s="6" t="s">
        <v>37</v>
      </c>
      <c r="C39" s="7" t="n">
        <v>50376</v>
      </c>
      <c r="D39" s="8" t="n">
        <v>87339</v>
      </c>
      <c r="E39" s="9" t="n">
        <f aca="false">C39/$C$46</f>
        <v>0.250776583034648</v>
      </c>
      <c r="F39" s="9" t="n">
        <f aca="false">D39/$D$46</f>
        <v>0.365207464802278</v>
      </c>
      <c r="G39" s="10"/>
    </row>
    <row r="40" s="2" customFormat="true" ht="20.25" hidden="false" customHeight="true" outlineLevel="0" collapsed="false">
      <c r="B40" s="6" t="s">
        <v>38</v>
      </c>
      <c r="C40" s="7" t="n">
        <v>2569</v>
      </c>
      <c r="D40" s="8" t="n">
        <v>3138</v>
      </c>
      <c r="E40" s="9" t="n">
        <f aca="false">C40/$C$46</f>
        <v>0.0127887295898049</v>
      </c>
      <c r="F40" s="9" t="n">
        <f aca="false">D40/$D$46</f>
        <v>0.0131215267469235</v>
      </c>
    </row>
    <row r="41" s="2" customFormat="true" ht="20.25" hidden="false" customHeight="true" outlineLevel="0" collapsed="false">
      <c r="B41" s="11" t="s">
        <v>39</v>
      </c>
      <c r="C41" s="12" t="n">
        <f aca="false">SUM(C36:C40)</f>
        <v>80007</v>
      </c>
      <c r="D41" s="13" t="n">
        <v>127956</v>
      </c>
      <c r="E41" s="9" t="n">
        <f aca="false">C41/$C$46</f>
        <v>0.398282556750299</v>
      </c>
      <c r="F41" s="9" t="n">
        <f aca="false">D41/$D$46</f>
        <v>0.535047188154665</v>
      </c>
      <c r="G41" s="10"/>
    </row>
    <row r="42" s="2" customFormat="true" ht="20.25" hidden="false" customHeight="true" outlineLevel="0" collapsed="false">
      <c r="B42" s="27" t="s">
        <v>40</v>
      </c>
      <c r="C42" s="18"/>
      <c r="D42" s="19"/>
      <c r="E42" s="9" t="n">
        <f aca="false">C42/$C$46</f>
        <v>0</v>
      </c>
      <c r="F42" s="9" t="n">
        <f aca="false">D42/$D$46</f>
        <v>0</v>
      </c>
    </row>
    <row r="43" s="2" customFormat="true" ht="20.25" hidden="false" customHeight="true" outlineLevel="0" collapsed="false">
      <c r="B43" s="6" t="s">
        <v>41</v>
      </c>
      <c r="C43" s="7" t="n">
        <v>75000</v>
      </c>
      <c r="D43" s="8" t="n">
        <v>75000</v>
      </c>
      <c r="E43" s="9" t="n">
        <f aca="false">C43/$C$46</f>
        <v>0.373357228195938</v>
      </c>
      <c r="F43" s="9" t="n">
        <f aca="false">D43/$D$46</f>
        <v>0.313612015939853</v>
      </c>
    </row>
    <row r="44" s="2" customFormat="true" ht="20.25" hidden="false" customHeight="true" outlineLevel="0" collapsed="false">
      <c r="B44" s="6" t="s">
        <v>42</v>
      </c>
      <c r="C44" s="7" t="n">
        <v>45873</v>
      </c>
      <c r="D44" s="8" t="n">
        <v>36193</v>
      </c>
      <c r="E44" s="9" t="n">
        <f aca="false">C44/$C$46</f>
        <v>0.228360215053763</v>
      </c>
      <c r="F44" s="9" t="n">
        <f aca="false">D44/$D$46</f>
        <v>0.151340795905482</v>
      </c>
    </row>
    <row r="45" s="2" customFormat="true" ht="20.25" hidden="false" customHeight="true" outlineLevel="0" collapsed="false">
      <c r="B45" s="28" t="s">
        <v>43</v>
      </c>
      <c r="C45" s="29" t="n">
        <v>120873</v>
      </c>
      <c r="D45" s="30" t="n">
        <v>111193</v>
      </c>
      <c r="E45" s="9" t="n">
        <f aca="false">C45/$C$46</f>
        <v>0.601717443249701</v>
      </c>
      <c r="F45" s="9" t="n">
        <f aca="false">D45/$D$46</f>
        <v>0.464952811845335</v>
      </c>
    </row>
    <row r="46" s="2" customFormat="true" ht="20.25" hidden="false" customHeight="true" outlineLevel="0" collapsed="false">
      <c r="B46" s="11" t="s">
        <v>44</v>
      </c>
      <c r="C46" s="12" t="n">
        <v>200880</v>
      </c>
      <c r="D46" s="13" t="n">
        <v>239149</v>
      </c>
      <c r="E46" s="9" t="n">
        <f aca="false">C46/$C$46</f>
        <v>1</v>
      </c>
      <c r="F46" s="9" t="n">
        <f aca="false">D46/$D$46</f>
        <v>1</v>
      </c>
    </row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>
      <c r="C49" s="31"/>
    </row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</sheetData>
  <mergeCells count="2">
    <mergeCell ref="B2:D2"/>
    <mergeCell ref="B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49"/>
  <sheetViews>
    <sheetView showFormulas="false" showGridLines="true" showRowColHeaders="true" showZeros="true" rightToLeft="false" tabSelected="false" showOutlineSymbols="true" defaultGridColor="true" view="normal" topLeftCell="C16" colorId="64" zoomScale="150" zoomScaleNormal="150" zoomScalePageLayoutView="100" workbookViewId="0">
      <selection pane="topLeft" activeCell="F11" activeCellId="0" sqref="F11"/>
    </sheetView>
  </sheetViews>
  <sheetFormatPr defaultColWidth="8.5390625" defaultRowHeight="14.25" zeroHeight="false" outlineLevelRow="0" outlineLevelCol="0"/>
  <cols>
    <col collapsed="false" customWidth="true" hidden="false" outlineLevel="0" max="2" min="2" style="0" width="38.11"/>
    <col collapsed="false" customWidth="true" hidden="false" outlineLevel="0" max="3" min="3" style="0" width="16.11"/>
    <col collapsed="false" customWidth="true" hidden="false" outlineLevel="0" max="4" min="4" style="0" width="20.77"/>
    <col collapsed="false" customWidth="true" hidden="false" outlineLevel="0" max="5" min="5" style="0" width="21.31"/>
    <col collapsed="false" customWidth="true" hidden="false" outlineLevel="0" max="6" min="6" style="0" width="14.44"/>
    <col collapsed="false" customWidth="true" hidden="false" outlineLevel="0" max="8" min="7" style="0" width="12.66"/>
  </cols>
  <sheetData>
    <row r="1" customFormat="false" ht="15" hidden="false" customHeight="false" outlineLevel="0" collapsed="false"/>
    <row r="2" customFormat="false" ht="27" hidden="false" customHeight="true" outlineLevel="0" collapsed="false">
      <c r="B2" s="32" t="s">
        <v>0</v>
      </c>
      <c r="C2" s="32"/>
      <c r="D2" s="32"/>
    </row>
    <row r="3" s="2" customFormat="true" ht="20.25" hidden="false" customHeight="true" outlineLevel="0" collapsed="false">
      <c r="B3" s="3"/>
      <c r="C3" s="4" t="n">
        <v>2010</v>
      </c>
      <c r="D3" s="33" t="n">
        <v>2011</v>
      </c>
      <c r="E3" s="34" t="s">
        <v>45</v>
      </c>
    </row>
    <row r="4" s="2" customFormat="true" ht="20.25" hidden="false" customHeight="true" outlineLevel="0" collapsed="false">
      <c r="B4" s="6" t="s">
        <v>1</v>
      </c>
      <c r="C4" s="7" t="n">
        <v>244036</v>
      </c>
      <c r="D4" s="8" t="n">
        <v>317247</v>
      </c>
      <c r="E4" s="9" t="n">
        <f aca="false">((D4-C4)/C4)</f>
        <v>0.300000819551214</v>
      </c>
      <c r="F4" s="9"/>
      <c r="H4" s="10"/>
    </row>
    <row r="5" s="2" customFormat="true" ht="20.25" hidden="false" customHeight="true" outlineLevel="0" collapsed="false">
      <c r="B5" s="6" t="s">
        <v>2</v>
      </c>
      <c r="C5" s="7" t="n">
        <v>154128</v>
      </c>
      <c r="D5" s="8" t="n">
        <v>221945</v>
      </c>
      <c r="E5" s="9" t="n">
        <f aca="false">((D5-C5)/C5)</f>
        <v>0.440004411917367</v>
      </c>
      <c r="F5" s="9"/>
      <c r="H5" s="10"/>
    </row>
    <row r="6" s="2" customFormat="true" ht="20.25" hidden="false" customHeight="true" outlineLevel="0" collapsed="false">
      <c r="B6" s="11" t="s">
        <v>4</v>
      </c>
      <c r="C6" s="12" t="n">
        <v>89908</v>
      </c>
      <c r="D6" s="13" t="n">
        <v>95302</v>
      </c>
      <c r="E6" s="9" t="n">
        <f aca="false">((D6-C6)/C6)</f>
        <v>0.0599946612092361</v>
      </c>
      <c r="F6" s="9"/>
    </row>
    <row r="7" s="2" customFormat="true" ht="20.25" hidden="false" customHeight="true" outlineLevel="0" collapsed="false">
      <c r="B7" s="14" t="s">
        <v>6</v>
      </c>
      <c r="C7" s="15"/>
      <c r="D7" s="16"/>
      <c r="E7" s="9"/>
      <c r="F7" s="9" t="s">
        <v>46</v>
      </c>
    </row>
    <row r="8" s="2" customFormat="true" ht="20.25" hidden="false" customHeight="true" outlineLevel="0" collapsed="false">
      <c r="B8" s="6" t="s">
        <v>7</v>
      </c>
      <c r="C8" s="7" t="n">
        <v>35963</v>
      </c>
      <c r="D8" s="8" t="n">
        <v>32367</v>
      </c>
      <c r="E8" s="9" t="n">
        <f aca="false">((D8-C8)/C8)</f>
        <v>-0.0999916580930401</v>
      </c>
      <c r="F8" s="35" t="s">
        <v>47</v>
      </c>
      <c r="G8" s="2" t="s">
        <v>48</v>
      </c>
    </row>
    <row r="9" s="2" customFormat="true" ht="20.25" hidden="false" customHeight="true" outlineLevel="0" collapsed="false">
      <c r="B9" s="6" t="s">
        <v>8</v>
      </c>
      <c r="C9" s="7" t="n">
        <v>15413</v>
      </c>
      <c r="D9" s="8" t="n">
        <v>21580</v>
      </c>
      <c r="E9" s="9" t="n">
        <f aca="false">((D9-C9)/C9)</f>
        <v>0.400116784532538</v>
      </c>
      <c r="F9" s="9"/>
    </row>
    <row r="10" s="2" customFormat="true" ht="20.25" hidden="false" customHeight="true" outlineLevel="0" collapsed="false">
      <c r="B10" s="6" t="s">
        <v>9</v>
      </c>
      <c r="C10" s="7" t="n">
        <v>7706</v>
      </c>
      <c r="D10" s="8" t="n">
        <v>15412</v>
      </c>
      <c r="E10" s="9" t="n">
        <f aca="false">((D10-C10)/C10)</f>
        <v>1</v>
      </c>
      <c r="F10" s="9"/>
    </row>
    <row r="11" s="2" customFormat="true" ht="20.25" hidden="false" customHeight="true" outlineLevel="0" collapsed="false">
      <c r="B11" s="6" t="s">
        <v>10</v>
      </c>
      <c r="C11" s="7" t="n">
        <v>12284</v>
      </c>
      <c r="D11" s="8" t="n">
        <v>14115</v>
      </c>
      <c r="E11" s="9" t="n">
        <f aca="false">((D11-C11)/C11)</f>
        <v>0.149055682188212</v>
      </c>
      <c r="F11" s="9"/>
    </row>
    <row r="12" s="2" customFormat="true" ht="20.25" hidden="false" customHeight="true" outlineLevel="0" collapsed="false">
      <c r="B12" s="11" t="s">
        <v>11</v>
      </c>
      <c r="C12" s="12" t="n">
        <v>18342</v>
      </c>
      <c r="D12" s="13" t="n">
        <v>11828</v>
      </c>
      <c r="E12" s="9" t="n">
        <f aca="false">((D12-C12)/C12)</f>
        <v>-0.355141205975357</v>
      </c>
      <c r="F12" s="9"/>
    </row>
    <row r="13" s="2" customFormat="true" ht="20.25" hidden="false" customHeight="true" outlineLevel="0" collapsed="false">
      <c r="B13" s="17" t="s">
        <v>12</v>
      </c>
      <c r="C13" s="18"/>
      <c r="D13" s="19"/>
      <c r="E13" s="9" t="e">
        <f aca="false">((D13-C13)/C13)</f>
        <v>#DIV/0!</v>
      </c>
      <c r="F13" s="9"/>
      <c r="G13" s="10"/>
    </row>
    <row r="14" s="2" customFormat="true" ht="20.25" hidden="false" customHeight="true" outlineLevel="0" collapsed="false">
      <c r="B14" s="6" t="s">
        <v>13</v>
      </c>
      <c r="C14" s="7" t="n">
        <v>2569</v>
      </c>
      <c r="D14" s="8" t="n">
        <v>5138</v>
      </c>
      <c r="E14" s="9" t="n">
        <f aca="false">((D14-C14)/C14)</f>
        <v>1</v>
      </c>
      <c r="F14" s="9"/>
    </row>
    <row r="15" s="2" customFormat="true" ht="20.25" hidden="false" customHeight="true" outlineLevel="0" collapsed="false">
      <c r="B15" s="6" t="s">
        <v>14</v>
      </c>
      <c r="C15" s="7"/>
      <c r="D15" s="8" t="n">
        <v>3500</v>
      </c>
      <c r="E15" s="9" t="e">
        <f aca="false">((D15-C15)/C15)</f>
        <v>#DIV/0!</v>
      </c>
      <c r="F15" s="9"/>
    </row>
    <row r="16" s="2" customFormat="true" ht="20.25" hidden="false" customHeight="true" outlineLevel="0" collapsed="false">
      <c r="B16" s="6" t="s">
        <v>49</v>
      </c>
      <c r="C16" s="7" t="n">
        <f aca="false">C12-C14</f>
        <v>15773</v>
      </c>
      <c r="D16" s="8" t="n">
        <f aca="false">D12-D14-D15</f>
        <v>3190</v>
      </c>
      <c r="E16" s="9" t="n">
        <f aca="false">((D16-C16)/C16)</f>
        <v>-0.797755658403601</v>
      </c>
      <c r="F16" s="9"/>
    </row>
    <row r="17" s="2" customFormat="true" ht="20.25" hidden="false" customHeight="true" outlineLevel="0" collapsed="false">
      <c r="B17" s="6" t="s">
        <v>16</v>
      </c>
      <c r="C17" s="7" t="n">
        <f aca="false">C16*25%</f>
        <v>3943.25</v>
      </c>
      <c r="D17" s="8" t="n">
        <f aca="false">D16*25%</f>
        <v>797.5</v>
      </c>
      <c r="E17" s="9" t="n">
        <f aca="false">((D17-C17)/C17)</f>
        <v>-0.797755658403601</v>
      </c>
      <c r="F17" s="9"/>
      <c r="G17" s="10"/>
    </row>
    <row r="18" s="2" customFormat="true" ht="20.25" hidden="false" customHeight="true" outlineLevel="0" collapsed="false">
      <c r="B18" s="11" t="s">
        <v>17</v>
      </c>
      <c r="C18" s="12" t="n">
        <f aca="false">C16-C17</f>
        <v>11829.75</v>
      </c>
      <c r="D18" s="13" t="n">
        <f aca="false">D16-D17</f>
        <v>2392.5</v>
      </c>
      <c r="E18" s="9" t="n">
        <f aca="false">((D18-C18)/C18)</f>
        <v>-0.797755658403601</v>
      </c>
      <c r="F18" s="9"/>
      <c r="G18" s="10"/>
    </row>
    <row r="19" s="2" customFormat="true" ht="20.25" hidden="false" customHeight="true" outlineLevel="0" collapsed="false">
      <c r="E19" s="9"/>
      <c r="F19" s="20"/>
      <c r="G19" s="10"/>
    </row>
    <row r="20" s="2" customFormat="true" ht="20.25" hidden="false" customHeight="true" outlineLevel="0" collapsed="false">
      <c r="B20" s="21" t="s">
        <v>18</v>
      </c>
      <c r="C20" s="21"/>
      <c r="D20" s="21"/>
      <c r="E20" s="9"/>
    </row>
    <row r="21" s="2" customFormat="true" ht="20.25" hidden="false" customHeight="true" outlineLevel="0" collapsed="false">
      <c r="B21" s="3" t="s">
        <v>19</v>
      </c>
      <c r="C21" s="4" t="n">
        <v>2010</v>
      </c>
      <c r="D21" s="5" t="n">
        <v>2011</v>
      </c>
      <c r="E21" s="9"/>
    </row>
    <row r="22" s="2" customFormat="true" ht="20.25" hidden="false" customHeight="true" outlineLevel="0" collapsed="false">
      <c r="B22" s="22" t="s">
        <v>20</v>
      </c>
      <c r="C22" s="23"/>
      <c r="D22" s="24"/>
      <c r="E22" s="9"/>
    </row>
    <row r="23" s="2" customFormat="true" ht="20.25" hidden="false" customHeight="true" outlineLevel="0" collapsed="false">
      <c r="B23" s="6" t="s">
        <v>21</v>
      </c>
      <c r="C23" s="7" t="n">
        <v>35963</v>
      </c>
      <c r="D23" s="8" t="n">
        <v>25174</v>
      </c>
      <c r="E23" s="9" t="n">
        <f aca="false">(D23-C23)/C23</f>
        <v>-0.300002780635653</v>
      </c>
      <c r="F23" s="36" t="s">
        <v>50</v>
      </c>
    </row>
    <row r="24" s="2" customFormat="true" ht="20.25" hidden="false" customHeight="true" outlineLevel="0" collapsed="false">
      <c r="B24" s="6" t="s">
        <v>22</v>
      </c>
      <c r="C24" s="7" t="n">
        <v>23119</v>
      </c>
      <c r="D24" s="8" t="n">
        <v>34679</v>
      </c>
      <c r="E24" s="9" t="n">
        <f aca="false">(D24-C24)/C24</f>
        <v>0.500021627233012</v>
      </c>
      <c r="F24" s="36" t="s">
        <v>51</v>
      </c>
    </row>
    <row r="25" s="2" customFormat="true" ht="20.25" hidden="false" customHeight="true" outlineLevel="0" collapsed="false">
      <c r="B25" s="6" t="s">
        <v>23</v>
      </c>
      <c r="C25" s="7" t="n">
        <v>18495</v>
      </c>
      <c r="D25" s="8" t="n">
        <v>25893</v>
      </c>
      <c r="E25" s="9" t="n">
        <f aca="false">(D25-C25)/C25</f>
        <v>0.4</v>
      </c>
      <c r="F25" s="36"/>
    </row>
    <row r="26" s="2" customFormat="true" ht="20.25" hidden="false" customHeight="true" outlineLevel="0" collapsed="false">
      <c r="B26" s="6" t="s">
        <v>24</v>
      </c>
      <c r="C26" s="7" t="n">
        <v>5138</v>
      </c>
      <c r="D26" s="8" t="n">
        <v>8221</v>
      </c>
      <c r="E26" s="9" t="n">
        <f aca="false">(D26-C26)/C26</f>
        <v>0.600038925652005</v>
      </c>
      <c r="F26" s="36"/>
    </row>
    <row r="27" s="2" customFormat="true" ht="20.25" hidden="false" customHeight="true" outlineLevel="0" collapsed="false">
      <c r="B27" s="11" t="s">
        <v>25</v>
      </c>
      <c r="C27" s="12" t="n">
        <v>82715</v>
      </c>
      <c r="D27" s="13" t="n">
        <v>93967</v>
      </c>
      <c r="E27" s="9" t="n">
        <f aca="false">(D27-C27)/C27</f>
        <v>0.136033367587499</v>
      </c>
      <c r="F27" s="37"/>
    </row>
    <row r="28" s="2" customFormat="true" ht="20.25" hidden="false" customHeight="true" outlineLevel="0" collapsed="false">
      <c r="B28" s="14" t="s">
        <v>26</v>
      </c>
      <c r="C28" s="15"/>
      <c r="D28" s="16"/>
      <c r="E28" s="9" t="e">
        <f aca="false">(D28-C28)/C28</f>
        <v>#DIV/0!</v>
      </c>
    </row>
    <row r="29" s="2" customFormat="true" ht="20.25" hidden="false" customHeight="true" outlineLevel="0" collapsed="false">
      <c r="B29" s="6" t="s">
        <v>27</v>
      </c>
      <c r="C29" s="7" t="n">
        <v>154128</v>
      </c>
      <c r="D29" s="8" t="n">
        <v>198345</v>
      </c>
      <c r="E29" s="9" t="n">
        <f aca="false">(D29-C29)/C29</f>
        <v>0.286884926814077</v>
      </c>
      <c r="F29" s="36"/>
    </row>
    <row r="30" s="2" customFormat="true" ht="20.25" hidden="false" customHeight="true" outlineLevel="0" collapsed="false">
      <c r="B30" s="6" t="s">
        <v>28</v>
      </c>
      <c r="C30" s="7" t="n">
        <v>-51376</v>
      </c>
      <c r="D30" s="8" t="n">
        <v>-65493</v>
      </c>
      <c r="E30" s="9" t="n">
        <f aca="false">(D30-C30)/C30</f>
        <v>0.274778106508876</v>
      </c>
      <c r="F30" s="36"/>
    </row>
    <row r="31" s="2" customFormat="true" ht="20.25" hidden="false" customHeight="true" outlineLevel="0" collapsed="false">
      <c r="B31" s="6" t="s">
        <v>29</v>
      </c>
      <c r="C31" s="7" t="n">
        <v>102752</v>
      </c>
      <c r="D31" s="8" t="n">
        <v>132852</v>
      </c>
      <c r="E31" s="9" t="n">
        <f aca="false">(D31-C31)/C31</f>
        <v>0.292938336966677</v>
      </c>
      <c r="F31" s="36"/>
    </row>
    <row r="32" s="2" customFormat="true" ht="20.25" hidden="false" customHeight="true" outlineLevel="0" collapsed="false">
      <c r="B32" s="6" t="s">
        <v>30</v>
      </c>
      <c r="C32" s="7" t="n">
        <v>15413</v>
      </c>
      <c r="D32" s="8" t="n">
        <v>12330</v>
      </c>
      <c r="E32" s="9" t="n">
        <f aca="false">(D32-C32)/C32</f>
        <v>-0.200025952118342</v>
      </c>
      <c r="F32" s="36"/>
    </row>
    <row r="33" s="2" customFormat="true" ht="20.25" hidden="false" customHeight="true" outlineLevel="0" collapsed="false">
      <c r="B33" s="11" t="s">
        <v>31</v>
      </c>
      <c r="C33" s="12" t="n">
        <v>200880</v>
      </c>
      <c r="D33" s="13" t="n">
        <v>239149</v>
      </c>
      <c r="E33" s="9" t="n">
        <f aca="false">(D33-C33)/C33</f>
        <v>0.190506770211071</v>
      </c>
      <c r="F33" s="36"/>
    </row>
    <row r="34" s="2" customFormat="true" ht="20.25" hidden="false" customHeight="true" outlineLevel="0" collapsed="false">
      <c r="B34" s="25" t="s">
        <v>32</v>
      </c>
      <c r="C34" s="15"/>
      <c r="D34" s="16"/>
      <c r="E34" s="9" t="e">
        <f aca="false">(D34-C34)/C34</f>
        <v>#DIV/0!</v>
      </c>
    </row>
    <row r="35" s="2" customFormat="true" ht="20.25" hidden="false" customHeight="true" outlineLevel="0" collapsed="false">
      <c r="B35" s="26" t="s">
        <v>33</v>
      </c>
      <c r="C35" s="7"/>
      <c r="D35" s="8"/>
      <c r="E35" s="9" t="e">
        <f aca="false">(D35-C35)/C35</f>
        <v>#DIV/0!</v>
      </c>
    </row>
    <row r="36" s="2" customFormat="true" ht="20.25" hidden="false" customHeight="true" outlineLevel="0" collapsed="false">
      <c r="B36" s="6" t="s">
        <v>34</v>
      </c>
      <c r="C36" s="7" t="n">
        <v>23119</v>
      </c>
      <c r="D36" s="8" t="n">
        <v>34679</v>
      </c>
      <c r="E36" s="9" t="n">
        <f aca="false">(D36-C36)/C36</f>
        <v>0.500021627233012</v>
      </c>
      <c r="F36" s="36"/>
    </row>
    <row r="37" s="2" customFormat="true" ht="20.25" hidden="false" customHeight="true" outlineLevel="0" collapsed="false">
      <c r="B37" s="6" t="s">
        <v>35</v>
      </c>
      <c r="C37" s="7" t="n">
        <v>3943</v>
      </c>
      <c r="D37" s="8" t="n">
        <v>800</v>
      </c>
      <c r="E37" s="9" t="n">
        <f aca="false">(D37-C37)/C37</f>
        <v>-0.797108800405782</v>
      </c>
    </row>
    <row r="38" s="2" customFormat="true" ht="20.25" hidden="false" customHeight="true" outlineLevel="0" collapsed="false">
      <c r="B38" s="26" t="s">
        <v>36</v>
      </c>
      <c r="C38" s="7"/>
      <c r="D38" s="8"/>
      <c r="E38" s="9" t="e">
        <f aca="false">(D38-C38)/C38</f>
        <v>#DIV/0!</v>
      </c>
    </row>
    <row r="39" s="2" customFormat="true" ht="20.25" hidden="false" customHeight="true" outlineLevel="0" collapsed="false">
      <c r="B39" s="6" t="s">
        <v>37</v>
      </c>
      <c r="C39" s="7" t="n">
        <v>50376</v>
      </c>
      <c r="D39" s="8" t="n">
        <v>87339</v>
      </c>
      <c r="E39" s="9" t="n">
        <f aca="false">(D39-C39)/C39</f>
        <v>0.733742258218199</v>
      </c>
      <c r="F39" s="36"/>
    </row>
    <row r="40" s="2" customFormat="true" ht="20.25" hidden="false" customHeight="true" outlineLevel="0" collapsed="false">
      <c r="B40" s="6" t="s">
        <v>38</v>
      </c>
      <c r="C40" s="7" t="n">
        <v>2569</v>
      </c>
      <c r="D40" s="8" t="n">
        <v>5138</v>
      </c>
      <c r="E40" s="9" t="n">
        <f aca="false">(D40-C40)/C40</f>
        <v>1</v>
      </c>
      <c r="F40" s="36"/>
    </row>
    <row r="41" s="2" customFormat="true" ht="20.25" hidden="false" customHeight="true" outlineLevel="0" collapsed="false">
      <c r="B41" s="11" t="s">
        <v>39</v>
      </c>
      <c r="C41" s="12" t="n">
        <f aca="false">SUM(C36:C40)</f>
        <v>80007</v>
      </c>
      <c r="D41" s="13" t="n">
        <v>127956</v>
      </c>
      <c r="E41" s="9" t="n">
        <f aca="false">(D41-C41)/C41</f>
        <v>0.599310060369718</v>
      </c>
      <c r="F41" s="36"/>
    </row>
    <row r="42" s="2" customFormat="true" ht="20.25" hidden="false" customHeight="true" outlineLevel="0" collapsed="false">
      <c r="B42" s="27" t="s">
        <v>40</v>
      </c>
      <c r="C42" s="18"/>
      <c r="D42" s="19"/>
      <c r="E42" s="9" t="e">
        <f aca="false">(D42-C42)/C42</f>
        <v>#DIV/0!</v>
      </c>
    </row>
    <row r="43" s="2" customFormat="true" ht="20.25" hidden="false" customHeight="true" outlineLevel="0" collapsed="false">
      <c r="B43" s="6" t="s">
        <v>41</v>
      </c>
      <c r="C43" s="7" t="n">
        <v>75000</v>
      </c>
      <c r="D43" s="8" t="n">
        <v>75000</v>
      </c>
      <c r="E43" s="9" t="n">
        <f aca="false">(D43-C43)/C43</f>
        <v>0</v>
      </c>
      <c r="F43" s="36"/>
    </row>
    <row r="44" s="2" customFormat="true" ht="20.25" hidden="false" customHeight="true" outlineLevel="0" collapsed="false">
      <c r="B44" s="6" t="s">
        <v>42</v>
      </c>
      <c r="C44" s="7" t="n">
        <v>45873</v>
      </c>
      <c r="D44" s="8" t="n">
        <v>36193</v>
      </c>
      <c r="E44" s="9" t="n">
        <f aca="false">(D44-C44)/C44</f>
        <v>-0.211017374054455</v>
      </c>
      <c r="F44" s="36"/>
    </row>
    <row r="45" s="2" customFormat="true" ht="20.25" hidden="false" customHeight="true" outlineLevel="0" collapsed="false">
      <c r="B45" s="28" t="s">
        <v>43</v>
      </c>
      <c r="C45" s="29" t="n">
        <v>120873</v>
      </c>
      <c r="D45" s="30" t="n">
        <v>111193</v>
      </c>
      <c r="E45" s="9" t="n">
        <f aca="false">(D45-C45)/C45</f>
        <v>-0.0800840551653388</v>
      </c>
      <c r="F45" s="37"/>
    </row>
    <row r="46" s="2" customFormat="true" ht="20.25" hidden="false" customHeight="true" outlineLevel="0" collapsed="false">
      <c r="B46" s="11" t="s">
        <v>44</v>
      </c>
      <c r="C46" s="12" t="n">
        <v>200880</v>
      </c>
      <c r="D46" s="13" t="n">
        <v>239149</v>
      </c>
      <c r="E46" s="9" t="n">
        <f aca="false">(D46-C46)/C46</f>
        <v>0.190506770211071</v>
      </c>
      <c r="F46" s="9"/>
    </row>
    <row r="49" customFormat="false" ht="14.25" hidden="false" customHeight="false" outlineLevel="0" collapsed="false">
      <c r="C49" s="31"/>
    </row>
  </sheetData>
  <mergeCells count="2">
    <mergeCell ref="B2:D2"/>
    <mergeCell ref="B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2025-02-12T13:02:44Z</dcterms:created>
  <dc:creator>Fazal Rahman</dc:creator>
  <dc:description/>
  <dc:language>en-IN</dc:language>
  <cp:lastModifiedBy/>
  <dcterms:modified xsi:type="dcterms:W3CDTF">2025-02-13T11:54:54Z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