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Fazal\Desktop\Course Work\TA Work\QF 2025\CF\"/>
    </mc:Choice>
  </mc:AlternateContent>
  <xr:revisionPtr revIDLastSave="0" documentId="8_{260C8A56-1917-41E8-879C-8F02D22033F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5" i="1" l="1"/>
  <c r="G87" i="1" s="1"/>
  <c r="E85" i="1"/>
  <c r="E87" i="1"/>
  <c r="C86" i="1"/>
  <c r="C85" i="1"/>
  <c r="I79" i="1"/>
  <c r="I81" i="1" s="1"/>
  <c r="G79" i="1"/>
  <c r="G81" i="1" s="1"/>
  <c r="E80" i="1"/>
  <c r="E79" i="1"/>
  <c r="C80" i="1"/>
  <c r="C79" i="1"/>
  <c r="I70" i="1"/>
  <c r="I68" i="1"/>
  <c r="G71" i="1"/>
  <c r="G73" i="1" s="1"/>
  <c r="I69" i="1" s="1"/>
  <c r="G68" i="1"/>
  <c r="E72" i="1"/>
  <c r="E73" i="1" s="1"/>
  <c r="E69" i="1"/>
  <c r="E71" i="1" s="1"/>
  <c r="C69" i="1"/>
  <c r="C75" i="1" s="1"/>
  <c r="C68" i="1"/>
  <c r="C72" i="1" s="1"/>
  <c r="C74" i="1" s="1"/>
  <c r="E81" i="1" l="1"/>
  <c r="C76" i="1"/>
  <c r="E88" i="1"/>
  <c r="G69" i="1"/>
  <c r="G70" i="1" s="1"/>
  <c r="C87" i="1"/>
  <c r="C81" i="1"/>
  <c r="I71" i="1"/>
  <c r="C70" i="1"/>
  <c r="G48" i="1"/>
  <c r="I49" i="1" s="1"/>
  <c r="H47" i="1"/>
  <c r="H65" i="1" s="1"/>
  <c r="I52" i="1"/>
  <c r="E54" i="1"/>
  <c r="E53" i="1"/>
  <c r="D51" i="1"/>
  <c r="C48" i="1"/>
  <c r="E49" i="1" s="1"/>
  <c r="D47" i="1"/>
  <c r="D65" i="1" s="1"/>
  <c r="E65" i="1" l="1"/>
  <c r="I65" i="1"/>
</calcChain>
</file>

<file path=xl/sharedStrings.xml><?xml version="1.0" encoding="utf-8"?>
<sst xmlns="http://schemas.openxmlformats.org/spreadsheetml/2006/main" count="97" uniqueCount="87">
  <si>
    <t>CASE 2–1 Maynard Company (A)*
Diane Maynard made the following request of a friend: My bookkeeper has quit, and I need to see the balance sheets of my company. He has left behind a book with the numbers already entered in it. Would you be willing to prepare balance sheets for me? Also, any comments you care to make about the numbers would be appreciated. The Cash account is healthy, which is a good sign, and he has told me that the net income in June was $19,635. The book contained a detailed record of transactions, and from it the friend was able to copy off the balances at the beginning of the month and at the end of the month as shown in Exhibit 1. Diane Maynard owned all the stock of Maynard Company. At the end of June, Diane Maynard paid herself an $11,700 dividend and used the money to repay her loan from the company. Questions
1. Prepare balance sheets as of June 1 and as of June 30, in proper format.
2. Make comments about how the financial condition as of the end of June compared with that at the beginning of June.
3. Why do retained earnings not increase by the amount of June net income?
4. As of June 30, do you feel that Maynard Company is worth the amount in Shareholder’s Equity, $619,446? Explain</t>
  </si>
  <si>
    <t xml:space="preserve">Diane Maynard was grateful for the balance sheets that her friend prepared [see Maynard Company (A)]. In going over the numbers, she remarked, “It’s sort of surprising that cash increased by $31,677, but net income was only $19,635. Why was that?” Her friend replied, “A partial answer to that question is to look at an income statement for June. I think I can find the data I need to prepare one for you.” In addition to the data given in the (A) case, her
friend found a record of cash receipts and disbursements, which is summarized in Exhibit 1. She also learned that all accounts payable were to vendors for purchase of merchandise inventory and that cost of sales was $39,345 in June. Questions
1. Prepare an income statement for June in proper format. Explain the derivation of each item on this statement, including cost of sales.
2. Explain why the change in the cash balance was greater than the net income.
3. Explain why the following amounts are incorrect cost of sales amounts for June: (a) $14,715 and (b) $36,030. Under what circumstances would these amounts be correct cost of sales amounts?
</t>
  </si>
  <si>
    <t>Assets</t>
  </si>
  <si>
    <t>Equity and Liabilities</t>
  </si>
  <si>
    <t>Fixed Assets</t>
  </si>
  <si>
    <t>Investments</t>
  </si>
  <si>
    <t>Current Assets</t>
  </si>
  <si>
    <t xml:space="preserve">Equity </t>
  </si>
  <si>
    <t>Long term Liabilities</t>
  </si>
  <si>
    <t>Current Liabilities</t>
  </si>
  <si>
    <t>Accounts Payable</t>
  </si>
  <si>
    <t>Accounts Receivable</t>
  </si>
  <si>
    <t>Accrues Wages Payable</t>
  </si>
  <si>
    <t>Bank Notes Payable</t>
  </si>
  <si>
    <t>Buildings</t>
  </si>
  <si>
    <t>Equipment</t>
  </si>
  <si>
    <t>Workings</t>
  </si>
  <si>
    <t>Capital Stock</t>
  </si>
  <si>
    <t>Cash</t>
  </si>
  <si>
    <t>Land</t>
  </si>
  <si>
    <t>Inventory</t>
  </si>
  <si>
    <t>Notes Receivable D.M</t>
  </si>
  <si>
    <t>Other Non Current assets</t>
  </si>
  <si>
    <t>Pre Paid Insurance</t>
  </si>
  <si>
    <t>Retained Earnings</t>
  </si>
  <si>
    <t>Supplies on Hand</t>
  </si>
  <si>
    <t>Taxes Payable</t>
  </si>
  <si>
    <t>Nil</t>
  </si>
  <si>
    <t>Net Profit for the month</t>
  </si>
  <si>
    <t>Cash sales</t>
  </si>
  <si>
    <t>Closing blance supposed to be</t>
  </si>
  <si>
    <t>Cash paid</t>
  </si>
  <si>
    <t>Actual Closing blance = Credit Purchases</t>
  </si>
  <si>
    <t>Total purchase</t>
  </si>
  <si>
    <t>Cash Purchases</t>
  </si>
  <si>
    <t>+Purchases</t>
  </si>
  <si>
    <t>+other assets purchased</t>
  </si>
  <si>
    <t>+Purchase of supplies</t>
  </si>
  <si>
    <t>+loan taken</t>
  </si>
  <si>
    <t>Other Non Current Liability</t>
  </si>
  <si>
    <t>- Accumulated Depreciation</t>
  </si>
  <si>
    <t>Closing Balance of Retained Earnings</t>
  </si>
  <si>
    <t>-Opening balance of Retained Earnings</t>
  </si>
  <si>
    <t>Difference=Net Profit</t>
  </si>
  <si>
    <t>Closing Balance of Retained earnings after Dividend Payment</t>
  </si>
  <si>
    <t>+Dividend payment</t>
  </si>
  <si>
    <t>Closing balance Of Retained earnings before dividend</t>
  </si>
  <si>
    <t>-Opening balance of Retained earnings</t>
  </si>
  <si>
    <t>Op bal of Accounts Receivebles</t>
  </si>
  <si>
    <t>Cash received from Customers</t>
  </si>
  <si>
    <t>Actual Closing balance = Credit sales</t>
  </si>
  <si>
    <t>Op Balance of Accounts Payable</t>
  </si>
  <si>
    <t>Opening Inventory</t>
  </si>
  <si>
    <t xml:space="preserve">-Closing balance of Inventory </t>
  </si>
  <si>
    <t>cost of Goods sold (COGS)= Expense in P&amp;L acc</t>
  </si>
  <si>
    <t>Closing balance of Accumulated depreciation on Buildings</t>
  </si>
  <si>
    <t>- opening balance of Accumulated depreciation</t>
  </si>
  <si>
    <r>
      <t xml:space="preserve">Depreciation for the month = </t>
    </r>
    <r>
      <rPr>
        <i/>
        <sz val="11"/>
        <color rgb="FFFF0000"/>
        <rFont val="Calibri"/>
        <family val="2"/>
        <scheme val="minor"/>
      </rPr>
      <t>expense in P&amp;L account</t>
    </r>
  </si>
  <si>
    <t>Closing balance of Accumulated depreciation on Equipment</t>
  </si>
  <si>
    <t>- op balance of Accumulated depreciation</t>
  </si>
  <si>
    <t>Opening Balance of other non current assets</t>
  </si>
  <si>
    <t>=Opening Balance of other non current assets</t>
  </si>
  <si>
    <t>Opening Balance of Equipments</t>
  </si>
  <si>
    <t>+Equipment purchased</t>
  </si>
  <si>
    <t>=Closing balance of Equipments</t>
  </si>
  <si>
    <t>Opening Balance of prepaid insurance</t>
  </si>
  <si>
    <t>- Closing balance of prepaid insurance</t>
  </si>
  <si>
    <t>Insurance Expenses for the month in P&amp;L</t>
  </si>
  <si>
    <t>Opening balance of supplies</t>
  </si>
  <si>
    <t>- closing balance of supplies</t>
  </si>
  <si>
    <r>
      <t xml:space="preserve">Supplies used in the month = </t>
    </r>
    <r>
      <rPr>
        <i/>
        <sz val="11"/>
        <color rgb="FFFF0000"/>
        <rFont val="Calibri"/>
        <family val="2"/>
        <scheme val="minor"/>
      </rPr>
      <t>expense in P&amp;L account</t>
    </r>
  </si>
  <si>
    <t>Opening balance of Bank notes payable</t>
  </si>
  <si>
    <t>= Opening balance of Bank notes payable</t>
  </si>
  <si>
    <r>
      <t xml:space="preserve">Total sales= </t>
    </r>
    <r>
      <rPr>
        <i/>
        <sz val="11"/>
        <color rgb="FFFF0000"/>
        <rFont val="Calibri"/>
        <family val="2"/>
        <scheme val="minor"/>
      </rPr>
      <t>Income in P&amp;L account</t>
    </r>
  </si>
  <si>
    <t xml:space="preserve">WN 1 - Net profit </t>
  </si>
  <si>
    <t>WN2 - Sales</t>
  </si>
  <si>
    <t>WN3 - Purchases</t>
  </si>
  <si>
    <t>WN4 - COGS</t>
  </si>
  <si>
    <t>WN 5 - Depreciation building</t>
  </si>
  <si>
    <t>WN 6 - Depreciation Equipments</t>
  </si>
  <si>
    <t>WN7 - Other non current assets</t>
  </si>
  <si>
    <t>WN8 - Equipments</t>
  </si>
  <si>
    <t>WN 9- Prepaid insurance</t>
  </si>
  <si>
    <t>WN 10 - Supplies</t>
  </si>
  <si>
    <t>WN 11 - Bank notes payable</t>
  </si>
  <si>
    <t>WN 12 - Wages</t>
  </si>
  <si>
    <t>WN 13 -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</si>
</sst>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family val="2"/>
      <scheme val="minor"/>
    </font>
    <font>
      <b/>
      <sz val="11"/>
      <color theme="1"/>
      <name val="Calibri"/>
      <family val="2"/>
      <scheme val="minor"/>
    </font>
    <font>
      <i/>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4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17" fontId="0" fillId="0" borderId="4" xfId="0" applyNumberFormat="1" applyBorder="1"/>
    <xf numFmtId="0" fontId="2" fillId="0" borderId="4" xfId="0" applyFont="1" applyBorder="1"/>
    <xf numFmtId="0" fontId="0" fillId="0" borderId="5" xfId="0" applyBorder="1"/>
    <xf numFmtId="0" fontId="0" fillId="0" borderId="5" xfId="0" quotePrefix="1" applyBorder="1"/>
    <xf numFmtId="0" fontId="0" fillId="0" borderId="6" xfId="0" applyBorder="1"/>
    <xf numFmtId="0" fontId="2" fillId="0" borderId="7" xfId="0" applyFont="1" applyBorder="1"/>
    <xf numFmtId="0" fontId="0" fillId="0" borderId="8" xfId="0" applyBorder="1"/>
    <xf numFmtId="0" fontId="0" fillId="0" borderId="9" xfId="0" applyBorder="1"/>
    <xf numFmtId="0" fontId="0" fillId="0" borderId="10" xfId="0" applyBorder="1"/>
    <xf numFmtId="0" fontId="2" fillId="0" borderId="8" xfId="0" applyFont="1" applyBorder="1"/>
    <xf numFmtId="0" fontId="0" fillId="0" borderId="7" xfId="0" applyBorder="1"/>
    <xf numFmtId="0" fontId="0" fillId="0" borderId="0" xfId="0"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0" fillId="0" borderId="0" xfId="0" applyAlignment="1">
      <alignment horizontal="center" wrapText="1"/>
    </xf>
    <xf numFmtId="0" fontId="0" fillId="0" borderId="4" xfId="0" applyBorder="1" applyAlignment="1">
      <alignment horizontal="center"/>
    </xf>
    <xf numFmtId="0" fontId="0" fillId="0" borderId="15" xfId="0" applyBorder="1"/>
    <xf numFmtId="0" fontId="0" fillId="0" borderId="16" xfId="0" applyBorder="1"/>
    <xf numFmtId="0" fontId="0" fillId="0" borderId="17" xfId="0" quotePrefix="1" applyBorder="1"/>
    <xf numFmtId="0" fontId="0" fillId="0" borderId="18" xfId="0" applyBorder="1"/>
    <xf numFmtId="0" fontId="0" fillId="0" borderId="17" xfId="0" applyBorder="1"/>
    <xf numFmtId="0" fontId="0" fillId="0" borderId="19" xfId="0" applyBorder="1"/>
    <xf numFmtId="0" fontId="0" fillId="0" borderId="20" xfId="0" applyBorder="1"/>
    <xf numFmtId="0" fontId="0" fillId="0" borderId="17" xfId="0" quotePrefix="1" applyBorder="1" applyAlignment="1">
      <alignment wrapText="1"/>
    </xf>
    <xf numFmtId="0" fontId="0" fillId="0" borderId="16" xfId="0" applyBorder="1" applyAlignment="1">
      <alignment horizontal="right" vertical="center"/>
    </xf>
    <xf numFmtId="0" fontId="0" fillId="0" borderId="18" xfId="0" applyBorder="1" applyAlignment="1">
      <alignment horizontal="right" vertical="center"/>
    </xf>
    <xf numFmtId="0" fontId="0" fillId="0" borderId="20" xfId="0" applyBorder="1" applyAlignment="1">
      <alignment horizontal="right" vertical="center"/>
    </xf>
    <xf numFmtId="0" fontId="0" fillId="0" borderId="0" xfId="0" applyBorder="1"/>
    <xf numFmtId="0" fontId="2" fillId="0" borderId="13" xfId="0" applyFont="1" applyBorder="1" applyAlignment="1">
      <alignment horizontal="center"/>
    </xf>
    <xf numFmtId="0" fontId="2" fillId="0" borderId="14"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21" xfId="0" applyFont="1" applyBorder="1" applyAlignment="1">
      <alignment horizontal="center"/>
    </xf>
    <xf numFmtId="0" fontId="0" fillId="0" borderId="22" xfId="0" applyBorder="1"/>
    <xf numFmtId="0" fontId="0" fillId="0" borderId="23" xfId="0" applyBorder="1"/>
    <xf numFmtId="0" fontId="2" fillId="2" borderId="13" xfId="0" applyFont="1" applyFill="1" applyBorder="1" applyAlignment="1">
      <alignment horizontal="center"/>
    </xf>
    <xf numFmtId="0" fontId="2" fillId="2" borderId="1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64477</xdr:colOff>
      <xdr:row>16</xdr:row>
      <xdr:rowOff>35292</xdr:rowOff>
    </xdr:from>
    <xdr:to>
      <xdr:col>3</xdr:col>
      <xdr:colOff>2291094</xdr:colOff>
      <xdr:row>40</xdr:row>
      <xdr:rowOff>29097</xdr:rowOff>
    </xdr:to>
    <xdr:pic>
      <xdr:nvPicPr>
        <xdr:cNvPr id="2" name="Picture 1">
          <a:extLst>
            <a:ext uri="{FF2B5EF4-FFF2-40B4-BE49-F238E27FC236}">
              <a16:creationId xmlns:a16="http://schemas.microsoft.com/office/drawing/2014/main" id="{AE6A4972-5B43-4060-AC94-D3261CDA00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477" y="2942615"/>
          <a:ext cx="5925248" cy="435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597479</xdr:colOff>
      <xdr:row>17</xdr:row>
      <xdr:rowOff>86591</xdr:rowOff>
    </xdr:from>
    <xdr:to>
      <xdr:col>19</xdr:col>
      <xdr:colOff>568966</xdr:colOff>
      <xdr:row>39</xdr:row>
      <xdr:rowOff>8659</xdr:rowOff>
    </xdr:to>
    <xdr:pic>
      <xdr:nvPicPr>
        <xdr:cNvPr id="3" name="Picture 2">
          <a:extLst>
            <a:ext uri="{FF2B5EF4-FFF2-40B4-BE49-F238E27FC236}">
              <a16:creationId xmlns:a16="http://schemas.microsoft.com/office/drawing/2014/main" id="{D7BCB4C7-97FF-414B-8D04-BDBBC094A4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7929" y="3325091"/>
          <a:ext cx="5791261" cy="41130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9"/>
  <sheetViews>
    <sheetView tabSelected="1" topLeftCell="A51" zoomScale="112" zoomScaleNormal="130" workbookViewId="0">
      <selection activeCell="L94" sqref="L94"/>
    </sheetView>
  </sheetViews>
  <sheetFormatPr defaultRowHeight="14.4" x14ac:dyDescent="0.3"/>
  <cols>
    <col min="2" max="2" width="27.33203125" customWidth="1"/>
    <col min="3" max="3" width="17.6640625" customWidth="1"/>
    <col min="4" max="4" width="33.44140625" customWidth="1"/>
    <col min="5" max="5" width="11.44140625" customWidth="1"/>
    <col min="6" max="6" width="26.44140625" customWidth="1"/>
    <col min="7" max="7" width="11.44140625" customWidth="1"/>
    <col min="8" max="8" width="19.6640625" customWidth="1"/>
    <col min="10" max="10" width="17.109375" customWidth="1"/>
    <col min="12" max="12" width="10.33203125" customWidth="1"/>
    <col min="13" max="13" width="13.5546875" customWidth="1"/>
    <col min="14" max="14" width="10.109375" customWidth="1"/>
    <col min="16" max="16" width="12.109375" customWidth="1"/>
    <col min="19" max="19" width="13.6640625" customWidth="1"/>
    <col min="23" max="23" width="18.88671875" customWidth="1"/>
  </cols>
  <sheetData>
    <row r="1" spans="1:21" x14ac:dyDescent="0.3">
      <c r="A1" s="17" t="s">
        <v>0</v>
      </c>
      <c r="B1" s="18"/>
      <c r="C1" s="18"/>
      <c r="D1" s="18"/>
      <c r="E1" s="18"/>
      <c r="F1" s="18"/>
      <c r="G1" s="18"/>
      <c r="H1" s="18"/>
      <c r="I1" s="18"/>
      <c r="J1" s="18"/>
      <c r="K1" s="18"/>
      <c r="M1" s="19" t="s">
        <v>1</v>
      </c>
      <c r="N1" s="16"/>
      <c r="O1" s="16"/>
      <c r="P1" s="16"/>
      <c r="Q1" s="16"/>
      <c r="R1" s="16"/>
      <c r="S1" s="16"/>
      <c r="T1" s="16"/>
      <c r="U1" s="16"/>
    </row>
    <row r="2" spans="1:21" x14ac:dyDescent="0.3">
      <c r="A2" s="18"/>
      <c r="B2" s="18"/>
      <c r="C2" s="18"/>
      <c r="D2" s="18"/>
      <c r="E2" s="18"/>
      <c r="F2" s="18"/>
      <c r="G2" s="18"/>
      <c r="H2" s="18"/>
      <c r="I2" s="18"/>
      <c r="J2" s="18"/>
      <c r="K2" s="18"/>
      <c r="M2" s="16"/>
      <c r="N2" s="16"/>
      <c r="O2" s="16"/>
      <c r="P2" s="16"/>
      <c r="Q2" s="16"/>
      <c r="R2" s="16"/>
      <c r="S2" s="16"/>
      <c r="T2" s="16"/>
      <c r="U2" s="16"/>
    </row>
    <row r="3" spans="1:21" x14ac:dyDescent="0.3">
      <c r="A3" s="18"/>
      <c r="B3" s="18"/>
      <c r="C3" s="18"/>
      <c r="D3" s="18"/>
      <c r="E3" s="18"/>
      <c r="F3" s="18"/>
      <c r="G3" s="18"/>
      <c r="H3" s="18"/>
      <c r="I3" s="18"/>
      <c r="J3" s="18"/>
      <c r="K3" s="18"/>
      <c r="M3" s="16"/>
      <c r="N3" s="16"/>
      <c r="O3" s="16"/>
      <c r="P3" s="16"/>
      <c r="Q3" s="16"/>
      <c r="R3" s="16"/>
      <c r="S3" s="16"/>
      <c r="T3" s="16"/>
      <c r="U3" s="16"/>
    </row>
    <row r="4" spans="1:21" x14ac:dyDescent="0.3">
      <c r="A4" s="18"/>
      <c r="B4" s="18"/>
      <c r="C4" s="18"/>
      <c r="D4" s="18"/>
      <c r="E4" s="18"/>
      <c r="F4" s="18"/>
      <c r="G4" s="18"/>
      <c r="H4" s="18"/>
      <c r="I4" s="18"/>
      <c r="J4" s="18"/>
      <c r="K4" s="18"/>
      <c r="M4" s="16"/>
      <c r="N4" s="16"/>
      <c r="O4" s="16"/>
      <c r="P4" s="16"/>
      <c r="Q4" s="16"/>
      <c r="R4" s="16"/>
      <c r="S4" s="16"/>
      <c r="T4" s="16"/>
      <c r="U4" s="16"/>
    </row>
    <row r="5" spans="1:21" x14ac:dyDescent="0.3">
      <c r="A5" s="18"/>
      <c r="B5" s="18"/>
      <c r="C5" s="18"/>
      <c r="D5" s="18"/>
      <c r="E5" s="18"/>
      <c r="F5" s="18"/>
      <c r="G5" s="18"/>
      <c r="H5" s="18"/>
      <c r="I5" s="18"/>
      <c r="J5" s="18"/>
      <c r="K5" s="18"/>
      <c r="M5" s="16"/>
      <c r="N5" s="16"/>
      <c r="O5" s="16"/>
      <c r="P5" s="16"/>
      <c r="Q5" s="16"/>
      <c r="R5" s="16"/>
      <c r="S5" s="16"/>
      <c r="T5" s="16"/>
      <c r="U5" s="16"/>
    </row>
    <row r="6" spans="1:21" x14ac:dyDescent="0.3">
      <c r="A6" s="18"/>
      <c r="B6" s="18"/>
      <c r="C6" s="18"/>
      <c r="D6" s="18"/>
      <c r="E6" s="18"/>
      <c r="F6" s="18"/>
      <c r="G6" s="18"/>
      <c r="H6" s="18"/>
      <c r="I6" s="18"/>
      <c r="J6" s="18"/>
      <c r="K6" s="18"/>
      <c r="M6" s="16"/>
      <c r="N6" s="16"/>
      <c r="O6" s="16"/>
      <c r="P6" s="16"/>
      <c r="Q6" s="16"/>
      <c r="R6" s="16"/>
      <c r="S6" s="16"/>
      <c r="T6" s="16"/>
      <c r="U6" s="16"/>
    </row>
    <row r="7" spans="1:21" x14ac:dyDescent="0.3">
      <c r="A7" s="18"/>
      <c r="B7" s="18"/>
      <c r="C7" s="18"/>
      <c r="D7" s="18"/>
      <c r="E7" s="18"/>
      <c r="F7" s="18"/>
      <c r="G7" s="18"/>
      <c r="H7" s="18"/>
      <c r="I7" s="18"/>
      <c r="J7" s="18"/>
      <c r="K7" s="18"/>
      <c r="M7" s="16"/>
      <c r="N7" s="16"/>
      <c r="O7" s="16"/>
      <c r="P7" s="16"/>
      <c r="Q7" s="16"/>
      <c r="R7" s="16"/>
      <c r="S7" s="16"/>
      <c r="T7" s="16"/>
      <c r="U7" s="16"/>
    </row>
    <row r="8" spans="1:21" x14ac:dyDescent="0.3">
      <c r="A8" s="18"/>
      <c r="B8" s="18"/>
      <c r="C8" s="18"/>
      <c r="D8" s="18"/>
      <c r="E8" s="18"/>
      <c r="F8" s="18"/>
      <c r="G8" s="18"/>
      <c r="H8" s="18"/>
      <c r="I8" s="18"/>
      <c r="J8" s="18"/>
      <c r="K8" s="18"/>
      <c r="M8" s="16"/>
      <c r="N8" s="16"/>
      <c r="O8" s="16"/>
      <c r="P8" s="16"/>
      <c r="Q8" s="16"/>
      <c r="R8" s="16"/>
      <c r="S8" s="16"/>
      <c r="T8" s="16"/>
      <c r="U8" s="16"/>
    </row>
    <row r="9" spans="1:21" x14ac:dyDescent="0.3">
      <c r="A9" s="18"/>
      <c r="B9" s="18"/>
      <c r="C9" s="18"/>
      <c r="D9" s="18"/>
      <c r="E9" s="18"/>
      <c r="F9" s="18"/>
      <c r="G9" s="18"/>
      <c r="H9" s="18"/>
      <c r="I9" s="18"/>
      <c r="J9" s="18"/>
      <c r="K9" s="18"/>
      <c r="M9" s="16"/>
      <c r="N9" s="16"/>
      <c r="O9" s="16"/>
      <c r="P9" s="16"/>
      <c r="Q9" s="16"/>
      <c r="R9" s="16"/>
      <c r="S9" s="16"/>
      <c r="T9" s="16"/>
      <c r="U9" s="16"/>
    </row>
    <row r="10" spans="1:21" x14ac:dyDescent="0.3">
      <c r="A10" s="18"/>
      <c r="B10" s="18"/>
      <c r="C10" s="18"/>
      <c r="D10" s="18"/>
      <c r="E10" s="18"/>
      <c r="F10" s="18"/>
      <c r="G10" s="18"/>
      <c r="H10" s="18"/>
      <c r="I10" s="18"/>
      <c r="J10" s="18"/>
      <c r="K10" s="18"/>
      <c r="M10" s="16"/>
      <c r="N10" s="16"/>
      <c r="O10" s="16"/>
      <c r="P10" s="16"/>
      <c r="Q10" s="16"/>
      <c r="R10" s="16"/>
      <c r="S10" s="16"/>
      <c r="T10" s="16"/>
      <c r="U10" s="16"/>
    </row>
    <row r="11" spans="1:21" x14ac:dyDescent="0.3">
      <c r="A11" s="18"/>
      <c r="B11" s="18"/>
      <c r="C11" s="18"/>
      <c r="D11" s="18"/>
      <c r="E11" s="18"/>
      <c r="F11" s="18"/>
      <c r="G11" s="18"/>
      <c r="H11" s="18"/>
      <c r="I11" s="18"/>
      <c r="J11" s="18"/>
      <c r="K11" s="18"/>
      <c r="M11" s="16"/>
      <c r="N11" s="16"/>
      <c r="O11" s="16"/>
      <c r="P11" s="16"/>
      <c r="Q11" s="16"/>
      <c r="R11" s="16"/>
      <c r="S11" s="16"/>
      <c r="T11" s="16"/>
      <c r="U11" s="16"/>
    </row>
    <row r="12" spans="1:21" x14ac:dyDescent="0.3">
      <c r="A12" s="18"/>
      <c r="B12" s="18"/>
      <c r="C12" s="18"/>
      <c r="D12" s="18"/>
      <c r="E12" s="18"/>
      <c r="F12" s="18"/>
      <c r="G12" s="18"/>
      <c r="H12" s="18"/>
      <c r="I12" s="18"/>
      <c r="J12" s="18"/>
      <c r="K12" s="18"/>
      <c r="M12" s="16"/>
      <c r="N12" s="16"/>
      <c r="O12" s="16"/>
      <c r="P12" s="16"/>
      <c r="Q12" s="16"/>
      <c r="R12" s="16"/>
      <c r="S12" s="16"/>
      <c r="T12" s="16"/>
      <c r="U12" s="16"/>
    </row>
    <row r="13" spans="1:21" x14ac:dyDescent="0.3">
      <c r="A13" s="18"/>
      <c r="B13" s="18"/>
      <c r="C13" s="18"/>
      <c r="D13" s="18"/>
      <c r="E13" s="18"/>
      <c r="F13" s="18"/>
      <c r="G13" s="18"/>
      <c r="H13" s="18"/>
      <c r="I13" s="18"/>
      <c r="J13" s="18"/>
      <c r="K13" s="18"/>
      <c r="M13" s="16"/>
      <c r="N13" s="16"/>
      <c r="O13" s="16"/>
      <c r="P13" s="16"/>
      <c r="Q13" s="16"/>
      <c r="R13" s="16"/>
      <c r="S13" s="16"/>
      <c r="T13" s="16"/>
      <c r="U13" s="16"/>
    </row>
    <row r="14" spans="1:21" x14ac:dyDescent="0.3">
      <c r="A14" s="18"/>
      <c r="B14" s="18"/>
      <c r="C14" s="18"/>
      <c r="D14" s="18"/>
      <c r="E14" s="18"/>
      <c r="F14" s="18"/>
      <c r="G14" s="18"/>
      <c r="H14" s="18"/>
      <c r="I14" s="18"/>
      <c r="J14" s="18"/>
      <c r="K14" s="18"/>
      <c r="M14" s="16"/>
      <c r="N14" s="16"/>
      <c r="O14" s="16"/>
      <c r="P14" s="16"/>
      <c r="Q14" s="16"/>
      <c r="R14" s="16"/>
      <c r="S14" s="16"/>
      <c r="T14" s="16"/>
      <c r="U14" s="16"/>
    </row>
    <row r="15" spans="1:21" x14ac:dyDescent="0.3">
      <c r="A15" s="18"/>
      <c r="B15" s="18"/>
      <c r="C15" s="18"/>
      <c r="D15" s="18"/>
      <c r="E15" s="18"/>
      <c r="F15" s="18"/>
      <c r="G15" s="18"/>
      <c r="H15" s="18"/>
      <c r="I15" s="18"/>
      <c r="J15" s="18"/>
      <c r="K15" s="18"/>
      <c r="M15" s="16"/>
      <c r="N15" s="16"/>
      <c r="O15" s="16"/>
      <c r="P15" s="16"/>
      <c r="Q15" s="16"/>
      <c r="R15" s="16"/>
      <c r="S15" s="16"/>
      <c r="T15" s="16"/>
      <c r="U15" s="16"/>
    </row>
    <row r="16" spans="1:21" x14ac:dyDescent="0.3">
      <c r="A16" s="18"/>
      <c r="B16" s="18"/>
      <c r="C16" s="18"/>
      <c r="D16" s="18"/>
      <c r="E16" s="18"/>
      <c r="F16" s="18"/>
      <c r="G16" s="18"/>
      <c r="H16" s="18"/>
      <c r="I16" s="18"/>
      <c r="J16" s="18"/>
      <c r="K16" s="18"/>
      <c r="M16" s="16"/>
      <c r="N16" s="16"/>
      <c r="O16" s="16"/>
      <c r="P16" s="16"/>
      <c r="Q16" s="16"/>
      <c r="R16" s="16"/>
      <c r="S16" s="16"/>
      <c r="T16" s="16"/>
      <c r="U16" s="16"/>
    </row>
    <row r="17" spans="1:22" x14ac:dyDescent="0.3">
      <c r="A17" s="16"/>
      <c r="B17" s="16"/>
      <c r="C17" s="16"/>
      <c r="D17" s="16"/>
      <c r="E17" s="16"/>
      <c r="F17" s="16"/>
      <c r="G17" s="16"/>
      <c r="H17" s="16"/>
      <c r="I17" s="16"/>
      <c r="J17" s="16"/>
      <c r="K17" s="16"/>
    </row>
    <row r="18" spans="1:22" x14ac:dyDescent="0.3">
      <c r="A18" s="16"/>
      <c r="B18" s="16"/>
      <c r="C18" s="16"/>
      <c r="D18" s="16"/>
      <c r="E18" s="16"/>
      <c r="F18" s="16"/>
      <c r="G18" s="16"/>
      <c r="H18" s="16"/>
      <c r="I18" s="16"/>
      <c r="J18" s="16"/>
      <c r="K18" s="16"/>
      <c r="M18" s="16"/>
      <c r="N18" s="16"/>
      <c r="O18" s="16"/>
      <c r="P18" s="16"/>
      <c r="Q18" s="16"/>
      <c r="R18" s="16"/>
      <c r="S18" s="16"/>
      <c r="T18" s="16"/>
      <c r="U18" s="16"/>
      <c r="V18" s="16"/>
    </row>
    <row r="19" spans="1:22" x14ac:dyDescent="0.3">
      <c r="A19" s="16"/>
      <c r="B19" s="16"/>
      <c r="C19" s="16"/>
      <c r="D19" s="16"/>
      <c r="E19" s="16"/>
      <c r="F19" s="16"/>
      <c r="G19" s="16"/>
      <c r="H19" s="16"/>
      <c r="I19" s="16"/>
      <c r="J19" s="16"/>
      <c r="K19" s="16"/>
      <c r="M19" s="16"/>
      <c r="N19" s="16"/>
      <c r="O19" s="16"/>
      <c r="P19" s="16"/>
      <c r="Q19" s="16"/>
      <c r="R19" s="16"/>
      <c r="S19" s="16"/>
      <c r="T19" s="16"/>
      <c r="U19" s="16"/>
      <c r="V19" s="16"/>
    </row>
    <row r="20" spans="1:22" x14ac:dyDescent="0.3">
      <c r="A20" s="16"/>
      <c r="B20" s="16"/>
      <c r="C20" s="16"/>
      <c r="D20" s="16"/>
      <c r="E20" s="16"/>
      <c r="F20" s="16"/>
      <c r="G20" s="16"/>
      <c r="H20" s="16"/>
      <c r="I20" s="16"/>
      <c r="J20" s="16"/>
      <c r="K20" s="16"/>
      <c r="M20" s="16"/>
      <c r="N20" s="16"/>
      <c r="O20" s="16"/>
      <c r="P20" s="16"/>
      <c r="Q20" s="16"/>
      <c r="R20" s="16"/>
      <c r="S20" s="16"/>
      <c r="T20" s="16"/>
      <c r="U20" s="16"/>
      <c r="V20" s="16"/>
    </row>
    <row r="21" spans="1:22" x14ac:dyDescent="0.3">
      <c r="A21" s="16"/>
      <c r="B21" s="16"/>
      <c r="C21" s="16"/>
      <c r="D21" s="16"/>
      <c r="E21" s="16"/>
      <c r="F21" s="16"/>
      <c r="G21" s="16"/>
      <c r="H21" s="16"/>
      <c r="I21" s="16"/>
      <c r="J21" s="16"/>
      <c r="K21" s="16"/>
      <c r="M21" s="16"/>
      <c r="N21" s="16"/>
      <c r="O21" s="16"/>
      <c r="P21" s="16"/>
      <c r="Q21" s="16"/>
      <c r="R21" s="16"/>
      <c r="S21" s="16"/>
      <c r="T21" s="16"/>
      <c r="U21" s="16"/>
      <c r="V21" s="16"/>
    </row>
    <row r="22" spans="1:22" x14ac:dyDescent="0.3">
      <c r="A22" s="16"/>
      <c r="B22" s="16"/>
      <c r="C22" s="16"/>
      <c r="D22" s="16"/>
      <c r="E22" s="16"/>
      <c r="F22" s="16"/>
      <c r="G22" s="16"/>
      <c r="H22" s="16"/>
      <c r="I22" s="16"/>
      <c r="J22" s="16"/>
      <c r="K22" s="16"/>
      <c r="M22" s="16"/>
      <c r="N22" s="16"/>
      <c r="O22" s="16"/>
      <c r="P22" s="16"/>
      <c r="Q22" s="16"/>
      <c r="R22" s="16"/>
      <c r="S22" s="16"/>
      <c r="T22" s="16"/>
      <c r="U22" s="16"/>
      <c r="V22" s="16"/>
    </row>
    <row r="23" spans="1:22" x14ac:dyDescent="0.3">
      <c r="A23" s="16"/>
      <c r="B23" s="16"/>
      <c r="C23" s="16"/>
      <c r="D23" s="16"/>
      <c r="E23" s="16"/>
      <c r="F23" s="16"/>
      <c r="G23" s="16"/>
      <c r="H23" s="16"/>
      <c r="I23" s="16"/>
      <c r="J23" s="16"/>
      <c r="K23" s="16"/>
      <c r="M23" s="16"/>
      <c r="N23" s="16"/>
      <c r="O23" s="16"/>
      <c r="P23" s="16"/>
      <c r="Q23" s="16"/>
      <c r="R23" s="16"/>
      <c r="S23" s="16"/>
      <c r="T23" s="16"/>
      <c r="U23" s="16"/>
      <c r="V23" s="16"/>
    </row>
    <row r="24" spans="1:22" x14ac:dyDescent="0.3">
      <c r="A24" s="16"/>
      <c r="B24" s="16"/>
      <c r="C24" s="16"/>
      <c r="D24" s="16"/>
      <c r="E24" s="16"/>
      <c r="F24" s="16"/>
      <c r="G24" s="16"/>
      <c r="H24" s="16"/>
      <c r="I24" s="16"/>
      <c r="J24" s="16"/>
      <c r="K24" s="16"/>
      <c r="M24" s="16"/>
      <c r="N24" s="16"/>
      <c r="O24" s="16"/>
      <c r="P24" s="16"/>
      <c r="Q24" s="16"/>
      <c r="R24" s="16"/>
      <c r="S24" s="16"/>
      <c r="T24" s="16"/>
      <c r="U24" s="16"/>
      <c r="V24" s="16"/>
    </row>
    <row r="25" spans="1:22" x14ac:dyDescent="0.3">
      <c r="A25" s="16"/>
      <c r="B25" s="16"/>
      <c r="C25" s="16"/>
      <c r="D25" s="16"/>
      <c r="E25" s="16"/>
      <c r="F25" s="16"/>
      <c r="G25" s="16"/>
      <c r="H25" s="16"/>
      <c r="I25" s="16"/>
      <c r="J25" s="16"/>
      <c r="K25" s="16"/>
      <c r="M25" s="16"/>
      <c r="N25" s="16"/>
      <c r="O25" s="16"/>
      <c r="P25" s="16"/>
      <c r="Q25" s="16"/>
      <c r="R25" s="16"/>
      <c r="S25" s="16"/>
      <c r="T25" s="16"/>
      <c r="U25" s="16"/>
      <c r="V25" s="16"/>
    </row>
    <row r="26" spans="1:22" x14ac:dyDescent="0.3">
      <c r="A26" s="16"/>
      <c r="B26" s="16"/>
      <c r="C26" s="16"/>
      <c r="D26" s="16"/>
      <c r="E26" s="16"/>
      <c r="F26" s="16"/>
      <c r="G26" s="16"/>
      <c r="H26" s="16"/>
      <c r="I26" s="16"/>
      <c r="J26" s="16"/>
      <c r="K26" s="16"/>
      <c r="M26" s="16"/>
      <c r="N26" s="16"/>
      <c r="O26" s="16"/>
      <c r="P26" s="16"/>
      <c r="Q26" s="16"/>
      <c r="R26" s="16"/>
      <c r="S26" s="16"/>
      <c r="T26" s="16"/>
      <c r="U26" s="16"/>
      <c r="V26" s="16"/>
    </row>
    <row r="27" spans="1:22" x14ac:dyDescent="0.3">
      <c r="A27" s="16"/>
      <c r="B27" s="16"/>
      <c r="C27" s="16"/>
      <c r="D27" s="16"/>
      <c r="E27" s="16"/>
      <c r="F27" s="16"/>
      <c r="G27" s="16"/>
      <c r="H27" s="16"/>
      <c r="I27" s="16"/>
      <c r="J27" s="16"/>
      <c r="K27" s="16"/>
      <c r="M27" s="16"/>
      <c r="N27" s="16"/>
      <c r="O27" s="16"/>
      <c r="P27" s="16"/>
      <c r="Q27" s="16"/>
      <c r="R27" s="16"/>
      <c r="S27" s="16"/>
      <c r="T27" s="16"/>
      <c r="U27" s="16"/>
      <c r="V27" s="16"/>
    </row>
    <row r="28" spans="1:22" x14ac:dyDescent="0.3">
      <c r="A28" s="16"/>
      <c r="B28" s="16"/>
      <c r="C28" s="16"/>
      <c r="D28" s="16"/>
      <c r="E28" s="16"/>
      <c r="F28" s="16"/>
      <c r="G28" s="16"/>
      <c r="H28" s="16"/>
      <c r="I28" s="16"/>
      <c r="J28" s="16"/>
      <c r="K28" s="16"/>
      <c r="M28" s="16"/>
      <c r="N28" s="16"/>
      <c r="O28" s="16"/>
      <c r="P28" s="16"/>
      <c r="Q28" s="16"/>
      <c r="R28" s="16"/>
      <c r="S28" s="16"/>
      <c r="T28" s="16"/>
      <c r="U28" s="16"/>
      <c r="V28" s="16"/>
    </row>
    <row r="29" spans="1:22" x14ac:dyDescent="0.3">
      <c r="A29" s="16"/>
      <c r="B29" s="16"/>
      <c r="C29" s="16"/>
      <c r="D29" s="16"/>
      <c r="E29" s="16"/>
      <c r="F29" s="16"/>
      <c r="G29" s="16"/>
      <c r="H29" s="16"/>
      <c r="I29" s="16"/>
      <c r="J29" s="16"/>
      <c r="K29" s="16"/>
      <c r="M29" s="16"/>
      <c r="N29" s="16"/>
      <c r="O29" s="16"/>
      <c r="P29" s="16"/>
      <c r="Q29" s="16"/>
      <c r="R29" s="16"/>
      <c r="S29" s="16"/>
      <c r="T29" s="16"/>
      <c r="U29" s="16"/>
      <c r="V29" s="16"/>
    </row>
    <row r="30" spans="1:22" x14ac:dyDescent="0.3">
      <c r="A30" s="16"/>
      <c r="B30" s="16"/>
      <c r="C30" s="16"/>
      <c r="D30" s="16"/>
      <c r="E30" s="16"/>
      <c r="F30" s="16"/>
      <c r="G30" s="16"/>
      <c r="H30" s="16"/>
      <c r="I30" s="16"/>
      <c r="J30" s="16"/>
      <c r="K30" s="16"/>
      <c r="M30" s="16"/>
      <c r="N30" s="16"/>
      <c r="O30" s="16"/>
      <c r="P30" s="16"/>
      <c r="Q30" s="16"/>
      <c r="R30" s="16"/>
      <c r="S30" s="16"/>
      <c r="T30" s="16"/>
      <c r="U30" s="16"/>
      <c r="V30" s="16"/>
    </row>
    <row r="31" spans="1:22" x14ac:dyDescent="0.3">
      <c r="A31" s="16"/>
      <c r="B31" s="16"/>
      <c r="C31" s="16"/>
      <c r="D31" s="16"/>
      <c r="E31" s="16"/>
      <c r="F31" s="16"/>
      <c r="G31" s="16"/>
      <c r="H31" s="16"/>
      <c r="I31" s="16"/>
      <c r="J31" s="16"/>
      <c r="K31" s="16"/>
      <c r="M31" s="16"/>
      <c r="N31" s="16"/>
      <c r="O31" s="16"/>
      <c r="P31" s="16"/>
      <c r="Q31" s="16"/>
      <c r="R31" s="16"/>
      <c r="S31" s="16"/>
      <c r="T31" s="16"/>
      <c r="U31" s="16"/>
      <c r="V31" s="16"/>
    </row>
    <row r="32" spans="1:22" x14ac:dyDescent="0.3">
      <c r="A32" s="16"/>
      <c r="B32" s="16"/>
      <c r="C32" s="16"/>
      <c r="D32" s="16"/>
      <c r="E32" s="16"/>
      <c r="F32" s="16"/>
      <c r="G32" s="16"/>
      <c r="H32" s="16"/>
      <c r="I32" s="16"/>
      <c r="J32" s="16"/>
      <c r="K32" s="16"/>
      <c r="M32" s="16"/>
      <c r="N32" s="16"/>
      <c r="O32" s="16"/>
      <c r="P32" s="16"/>
      <c r="Q32" s="16"/>
      <c r="R32" s="16"/>
      <c r="S32" s="16"/>
      <c r="T32" s="16"/>
      <c r="U32" s="16"/>
      <c r="V32" s="16"/>
    </row>
    <row r="33" spans="1:22" x14ac:dyDescent="0.3">
      <c r="A33" s="16"/>
      <c r="B33" s="16"/>
      <c r="C33" s="16"/>
      <c r="D33" s="16"/>
      <c r="E33" s="16"/>
      <c r="F33" s="16"/>
      <c r="G33" s="16"/>
      <c r="H33" s="16"/>
      <c r="I33" s="16"/>
      <c r="J33" s="16"/>
      <c r="K33" s="16"/>
      <c r="M33" s="16"/>
      <c r="N33" s="16"/>
      <c r="O33" s="16"/>
      <c r="P33" s="16"/>
      <c r="Q33" s="16"/>
      <c r="R33" s="16"/>
      <c r="S33" s="16"/>
      <c r="T33" s="16"/>
      <c r="U33" s="16"/>
      <c r="V33" s="16"/>
    </row>
    <row r="34" spans="1:22" x14ac:dyDescent="0.3">
      <c r="A34" s="16"/>
      <c r="B34" s="16"/>
      <c r="C34" s="16"/>
      <c r="D34" s="16"/>
      <c r="E34" s="16"/>
      <c r="F34" s="16"/>
      <c r="G34" s="16"/>
      <c r="H34" s="16"/>
      <c r="I34" s="16"/>
      <c r="J34" s="16"/>
      <c r="K34" s="16"/>
      <c r="M34" s="16"/>
      <c r="N34" s="16"/>
      <c r="O34" s="16"/>
      <c r="P34" s="16"/>
      <c r="Q34" s="16"/>
      <c r="R34" s="16"/>
      <c r="S34" s="16"/>
      <c r="T34" s="16"/>
      <c r="U34" s="16"/>
      <c r="V34" s="16"/>
    </row>
    <row r="35" spans="1:22" x14ac:dyDescent="0.3">
      <c r="A35" s="16"/>
      <c r="B35" s="16"/>
      <c r="C35" s="16"/>
      <c r="D35" s="16"/>
      <c r="E35" s="16"/>
      <c r="F35" s="16"/>
      <c r="G35" s="16"/>
      <c r="H35" s="16"/>
      <c r="I35" s="16"/>
      <c r="J35" s="16"/>
      <c r="K35" s="16"/>
      <c r="M35" s="16"/>
      <c r="N35" s="16"/>
      <c r="O35" s="16"/>
      <c r="P35" s="16"/>
      <c r="Q35" s="16"/>
      <c r="R35" s="16"/>
      <c r="S35" s="16"/>
      <c r="T35" s="16"/>
      <c r="U35" s="16"/>
      <c r="V35" s="16"/>
    </row>
    <row r="36" spans="1:22" x14ac:dyDescent="0.3">
      <c r="A36" s="16"/>
      <c r="B36" s="16"/>
      <c r="C36" s="16"/>
      <c r="D36" s="16"/>
      <c r="E36" s="16"/>
      <c r="F36" s="16"/>
      <c r="G36" s="16"/>
      <c r="H36" s="16"/>
      <c r="I36" s="16"/>
      <c r="J36" s="16"/>
      <c r="K36" s="16"/>
      <c r="M36" s="16"/>
      <c r="N36" s="16"/>
      <c r="O36" s="16"/>
      <c r="P36" s="16"/>
      <c r="Q36" s="16"/>
      <c r="R36" s="16"/>
      <c r="S36" s="16"/>
      <c r="T36" s="16"/>
      <c r="U36" s="16"/>
      <c r="V36" s="16"/>
    </row>
    <row r="37" spans="1:22" x14ac:dyDescent="0.3">
      <c r="A37" s="16"/>
      <c r="B37" s="16"/>
      <c r="C37" s="16"/>
      <c r="D37" s="16"/>
      <c r="E37" s="16"/>
      <c r="F37" s="16"/>
      <c r="G37" s="16"/>
      <c r="H37" s="16"/>
      <c r="I37" s="16"/>
      <c r="J37" s="16"/>
      <c r="K37" s="16"/>
      <c r="M37" s="16"/>
      <c r="N37" s="16"/>
      <c r="O37" s="16"/>
      <c r="P37" s="16"/>
      <c r="Q37" s="16"/>
      <c r="R37" s="16"/>
      <c r="S37" s="16"/>
      <c r="T37" s="16"/>
      <c r="U37" s="16"/>
      <c r="V37" s="16"/>
    </row>
    <row r="38" spans="1:22" x14ac:dyDescent="0.3">
      <c r="A38" s="16"/>
      <c r="B38" s="16"/>
      <c r="C38" s="16"/>
      <c r="D38" s="16"/>
      <c r="E38" s="16"/>
      <c r="F38" s="16"/>
      <c r="G38" s="16"/>
      <c r="H38" s="16"/>
      <c r="I38" s="16"/>
      <c r="J38" s="16"/>
      <c r="K38" s="16"/>
      <c r="M38" s="16"/>
      <c r="N38" s="16"/>
      <c r="O38" s="16"/>
      <c r="P38" s="16"/>
      <c r="Q38" s="16"/>
      <c r="R38" s="16"/>
      <c r="S38" s="16"/>
      <c r="T38" s="16"/>
      <c r="U38" s="16"/>
      <c r="V38" s="16"/>
    </row>
    <row r="39" spans="1:22" x14ac:dyDescent="0.3">
      <c r="A39" s="16"/>
      <c r="B39" s="16"/>
      <c r="C39" s="16"/>
      <c r="D39" s="16"/>
      <c r="E39" s="16"/>
      <c r="F39" s="16"/>
      <c r="G39" s="16"/>
      <c r="H39" s="16"/>
      <c r="I39" s="16"/>
      <c r="J39" s="16"/>
      <c r="K39" s="16"/>
      <c r="M39" s="16"/>
      <c r="N39" s="16"/>
      <c r="O39" s="16"/>
      <c r="P39" s="16"/>
      <c r="Q39" s="16"/>
      <c r="R39" s="16"/>
      <c r="S39" s="16"/>
      <c r="T39" s="16"/>
      <c r="U39" s="16"/>
      <c r="V39" s="16"/>
    </row>
    <row r="40" spans="1:22" x14ac:dyDescent="0.3">
      <c r="A40" s="16"/>
      <c r="B40" s="16"/>
      <c r="C40" s="16"/>
      <c r="D40" s="16"/>
      <c r="E40" s="16"/>
      <c r="F40" s="16"/>
      <c r="G40" s="16"/>
      <c r="H40" s="16"/>
      <c r="I40" s="16"/>
      <c r="J40" s="16"/>
      <c r="K40" s="16"/>
      <c r="M40" s="16"/>
      <c r="N40" s="16"/>
      <c r="O40" s="16"/>
      <c r="P40" s="16"/>
      <c r="Q40" s="16"/>
      <c r="R40" s="16"/>
      <c r="S40" s="16"/>
      <c r="T40" s="16"/>
      <c r="U40" s="16"/>
      <c r="V40" s="16"/>
    </row>
    <row r="41" spans="1:22" ht="15" thickBot="1" x14ac:dyDescent="0.35">
      <c r="M41" s="16"/>
      <c r="N41" s="16"/>
      <c r="O41" s="16"/>
      <c r="P41" s="16"/>
      <c r="Q41" s="16"/>
      <c r="R41" s="16"/>
      <c r="S41" s="16"/>
      <c r="T41" s="16"/>
      <c r="U41" s="16"/>
      <c r="V41" s="16"/>
    </row>
    <row r="42" spans="1:22" x14ac:dyDescent="0.3">
      <c r="B42" s="1"/>
      <c r="C42" s="3"/>
      <c r="D42" s="2"/>
    </row>
    <row r="43" spans="1:22" x14ac:dyDescent="0.3">
      <c r="B43" s="20" t="s">
        <v>2</v>
      </c>
      <c r="C43" s="20"/>
      <c r="D43" s="20"/>
      <c r="E43" s="20"/>
      <c r="F43" s="20" t="s">
        <v>3</v>
      </c>
      <c r="G43" s="20"/>
      <c r="H43" s="20"/>
      <c r="I43" s="20"/>
    </row>
    <row r="44" spans="1:22" x14ac:dyDescent="0.3">
      <c r="B44" s="4"/>
      <c r="C44" s="4" t="s">
        <v>16</v>
      </c>
      <c r="D44" s="5">
        <v>37043</v>
      </c>
      <c r="E44" s="5">
        <v>11110</v>
      </c>
      <c r="F44" s="4"/>
      <c r="G44" s="4" t="s">
        <v>16</v>
      </c>
      <c r="H44" s="5">
        <v>37043</v>
      </c>
      <c r="I44" s="5">
        <v>11110</v>
      </c>
    </row>
    <row r="45" spans="1:22" ht="15" thickBot="1" x14ac:dyDescent="0.35">
      <c r="B45" s="6" t="s">
        <v>4</v>
      </c>
      <c r="C45" s="10"/>
      <c r="D45" s="4"/>
      <c r="E45" s="4"/>
      <c r="F45" s="6" t="s">
        <v>7</v>
      </c>
      <c r="G45" s="10"/>
      <c r="H45" s="4"/>
      <c r="I45" s="4"/>
    </row>
    <row r="46" spans="1:22" x14ac:dyDescent="0.3">
      <c r="B46" s="7" t="s">
        <v>14</v>
      </c>
      <c r="C46" s="12">
        <v>585000</v>
      </c>
      <c r="D46" s="9"/>
      <c r="E46" s="4"/>
      <c r="F46" s="7" t="s">
        <v>17</v>
      </c>
      <c r="G46" s="12">
        <v>390000</v>
      </c>
      <c r="H46" s="9"/>
      <c r="I46" s="4"/>
    </row>
    <row r="47" spans="1:22" ht="15" thickBot="1" x14ac:dyDescent="0.35">
      <c r="B47" s="8" t="s">
        <v>40</v>
      </c>
      <c r="C47" s="13">
        <v>156000</v>
      </c>
      <c r="D47" s="9">
        <f>C46-C47</f>
        <v>429000</v>
      </c>
      <c r="E47" s="4"/>
      <c r="F47" s="7" t="s">
        <v>24</v>
      </c>
      <c r="G47" s="13">
        <v>221511</v>
      </c>
      <c r="H47" s="9">
        <f>G46+G47</f>
        <v>611511</v>
      </c>
      <c r="I47" s="4"/>
    </row>
    <row r="48" spans="1:22" x14ac:dyDescent="0.3">
      <c r="B48" s="7" t="s">
        <v>14</v>
      </c>
      <c r="C48" s="12">
        <f>C46</f>
        <v>585000</v>
      </c>
      <c r="D48" s="9"/>
      <c r="E48" s="4"/>
      <c r="F48" s="7" t="s">
        <v>17</v>
      </c>
      <c r="G48" s="12">
        <f>G46</f>
        <v>390000</v>
      </c>
      <c r="H48" s="9"/>
      <c r="I48" s="4"/>
    </row>
    <row r="49" spans="2:9" ht="15" thickBot="1" x14ac:dyDescent="0.35">
      <c r="B49" s="8" t="s">
        <v>40</v>
      </c>
      <c r="C49" s="13">
        <v>157950</v>
      </c>
      <c r="D49" s="9"/>
      <c r="E49" s="4">
        <f>C48-C49</f>
        <v>427050</v>
      </c>
      <c r="F49" s="7" t="s">
        <v>24</v>
      </c>
      <c r="G49" s="13">
        <v>229446</v>
      </c>
      <c r="H49" s="9"/>
      <c r="I49" s="4">
        <f>G48+G49</f>
        <v>619446</v>
      </c>
    </row>
    <row r="50" spans="2:9" x14ac:dyDescent="0.3">
      <c r="B50" s="7" t="s">
        <v>15</v>
      </c>
      <c r="C50" s="12">
        <v>13260</v>
      </c>
      <c r="D50" s="9"/>
      <c r="E50" s="4"/>
      <c r="F50" s="6" t="s">
        <v>8</v>
      </c>
      <c r="G50" s="14"/>
      <c r="H50" s="4"/>
      <c r="I50" s="4"/>
    </row>
    <row r="51" spans="2:9" ht="15" thickBot="1" x14ac:dyDescent="0.35">
      <c r="B51" s="8" t="s">
        <v>40</v>
      </c>
      <c r="C51" s="13">
        <v>5304</v>
      </c>
      <c r="D51" s="9">
        <f>C50-C51</f>
        <v>7956</v>
      </c>
      <c r="E51" s="4"/>
      <c r="F51" s="4" t="s">
        <v>13</v>
      </c>
      <c r="G51" s="4"/>
      <c r="H51" s="4">
        <v>8385</v>
      </c>
      <c r="I51" s="4">
        <v>29250</v>
      </c>
    </row>
    <row r="52" spans="2:9" x14ac:dyDescent="0.3">
      <c r="B52" s="7" t="s">
        <v>15</v>
      </c>
      <c r="C52" s="12">
        <v>36660</v>
      </c>
      <c r="D52" s="9"/>
      <c r="E52" s="4"/>
      <c r="F52" s="4" t="s">
        <v>39</v>
      </c>
      <c r="G52" s="4"/>
      <c r="H52" s="4">
        <v>2451</v>
      </c>
      <c r="I52" s="4">
        <f>H52</f>
        <v>2451</v>
      </c>
    </row>
    <row r="53" spans="2:9" ht="15" thickBot="1" x14ac:dyDescent="0.35">
      <c r="B53" s="8" t="s">
        <v>40</v>
      </c>
      <c r="C53" s="13">
        <v>5928</v>
      </c>
      <c r="D53" s="9"/>
      <c r="E53" s="4">
        <f>C52-C53</f>
        <v>30732</v>
      </c>
      <c r="F53" s="4"/>
      <c r="G53" s="4"/>
      <c r="H53" s="4"/>
      <c r="I53" s="4"/>
    </row>
    <row r="54" spans="2:9" x14ac:dyDescent="0.3">
      <c r="B54" s="4" t="s">
        <v>19</v>
      </c>
      <c r="C54" s="11"/>
      <c r="D54" s="4">
        <v>89700</v>
      </c>
      <c r="E54" s="4">
        <f>D54</f>
        <v>89700</v>
      </c>
      <c r="F54" s="6" t="s">
        <v>9</v>
      </c>
      <c r="G54" s="6"/>
      <c r="H54" s="4"/>
      <c r="I54" s="4"/>
    </row>
    <row r="55" spans="2:9" x14ac:dyDescent="0.3">
      <c r="B55" s="4" t="s">
        <v>22</v>
      </c>
      <c r="C55" s="4"/>
      <c r="D55" s="4">
        <v>4857</v>
      </c>
      <c r="E55" s="4">
        <v>5265</v>
      </c>
      <c r="F55" s="4" t="s">
        <v>10</v>
      </c>
      <c r="G55" s="4"/>
      <c r="H55" s="4">
        <v>8517</v>
      </c>
      <c r="I55" s="4">
        <v>21315</v>
      </c>
    </row>
    <row r="56" spans="2:9" x14ac:dyDescent="0.3">
      <c r="B56" s="6" t="s">
        <v>5</v>
      </c>
      <c r="C56" s="4"/>
      <c r="D56" s="4"/>
      <c r="E56" s="4"/>
      <c r="F56" s="4" t="s">
        <v>12</v>
      </c>
      <c r="G56" s="4"/>
      <c r="H56" s="4">
        <v>1974</v>
      </c>
      <c r="I56" s="4">
        <v>2202</v>
      </c>
    </row>
    <row r="57" spans="2:9" x14ac:dyDescent="0.3">
      <c r="B57" s="4" t="s">
        <v>27</v>
      </c>
      <c r="C57" s="4"/>
      <c r="D57" s="4"/>
      <c r="E57" s="4"/>
      <c r="F57" s="4" t="s">
        <v>26</v>
      </c>
      <c r="G57" s="4"/>
      <c r="H57" s="4">
        <v>5700</v>
      </c>
      <c r="I57" s="4">
        <v>7224</v>
      </c>
    </row>
    <row r="58" spans="2:9" x14ac:dyDescent="0.3">
      <c r="B58" s="6" t="s">
        <v>6</v>
      </c>
      <c r="C58" s="6"/>
      <c r="D58" s="4"/>
      <c r="E58" s="4"/>
      <c r="F58" s="4"/>
      <c r="G58" s="4"/>
      <c r="H58" s="4"/>
      <c r="I58" s="4"/>
    </row>
    <row r="59" spans="2:9" x14ac:dyDescent="0.3">
      <c r="B59" s="4" t="s">
        <v>11</v>
      </c>
      <c r="C59" s="4"/>
      <c r="D59" s="4">
        <v>21798</v>
      </c>
      <c r="E59" s="4">
        <v>26505</v>
      </c>
      <c r="F59" s="4"/>
      <c r="G59" s="4"/>
      <c r="H59" s="4"/>
      <c r="I59" s="4"/>
    </row>
    <row r="60" spans="2:9" x14ac:dyDescent="0.3">
      <c r="B60" s="4" t="s">
        <v>18</v>
      </c>
      <c r="C60" s="4"/>
      <c r="D60" s="4">
        <v>34983</v>
      </c>
      <c r="E60" s="4">
        <v>66660</v>
      </c>
      <c r="F60" s="4"/>
      <c r="G60" s="4"/>
      <c r="H60" s="4"/>
      <c r="I60" s="4"/>
    </row>
    <row r="61" spans="2:9" x14ac:dyDescent="0.3">
      <c r="B61" s="4" t="s">
        <v>20</v>
      </c>
      <c r="C61" s="4"/>
      <c r="D61" s="4">
        <v>29835</v>
      </c>
      <c r="E61" s="4">
        <v>26520</v>
      </c>
      <c r="F61" s="4"/>
      <c r="G61" s="4"/>
      <c r="H61" s="4"/>
      <c r="I61" s="4"/>
    </row>
    <row r="62" spans="2:9" x14ac:dyDescent="0.3">
      <c r="B62" s="4" t="s">
        <v>21</v>
      </c>
      <c r="C62" s="4"/>
      <c r="D62" s="4">
        <v>11700</v>
      </c>
      <c r="E62" s="4"/>
      <c r="F62" s="4"/>
      <c r="G62" s="4"/>
      <c r="H62" s="4"/>
      <c r="I62" s="4"/>
    </row>
    <row r="63" spans="2:9" x14ac:dyDescent="0.3">
      <c r="B63" s="4" t="s">
        <v>23</v>
      </c>
      <c r="C63" s="4"/>
      <c r="D63" s="4">
        <v>3150</v>
      </c>
      <c r="E63" s="4">
        <v>2826</v>
      </c>
      <c r="F63" s="4"/>
      <c r="G63" s="4"/>
      <c r="H63" s="4"/>
      <c r="I63" s="4"/>
    </row>
    <row r="64" spans="2:9" x14ac:dyDescent="0.3">
      <c r="B64" s="4" t="s">
        <v>25</v>
      </c>
      <c r="C64" s="4"/>
      <c r="D64" s="4">
        <v>5559</v>
      </c>
      <c r="E64" s="4">
        <v>6630</v>
      </c>
      <c r="F64" s="4"/>
      <c r="G64" s="4"/>
      <c r="H64" s="4"/>
      <c r="I64" s="4"/>
    </row>
    <row r="65" spans="2:9" x14ac:dyDescent="0.3">
      <c r="B65" s="15"/>
      <c r="C65" s="15"/>
      <c r="D65" s="6">
        <f>SUM(D47:D64)</f>
        <v>638538</v>
      </c>
      <c r="E65" s="6">
        <f>SUM(E47:E64)</f>
        <v>681888</v>
      </c>
      <c r="F65" s="6"/>
      <c r="G65" s="6"/>
      <c r="H65" s="6">
        <f>SUM(H47:H64)</f>
        <v>638538</v>
      </c>
      <c r="I65" s="6">
        <f>SUM(I47:I64)</f>
        <v>681888</v>
      </c>
    </row>
    <row r="66" spans="2:9" ht="15" thickBot="1" x14ac:dyDescent="0.35"/>
    <row r="67" spans="2:9" ht="15" thickBot="1" x14ac:dyDescent="0.35">
      <c r="B67" s="33" t="s">
        <v>74</v>
      </c>
      <c r="C67" s="34"/>
      <c r="D67" s="33" t="s">
        <v>75</v>
      </c>
      <c r="E67" s="34"/>
      <c r="F67" s="35" t="s">
        <v>76</v>
      </c>
      <c r="G67" s="36"/>
      <c r="H67" s="33" t="s">
        <v>77</v>
      </c>
      <c r="I67" s="34"/>
    </row>
    <row r="68" spans="2:9" ht="21" customHeight="1" x14ac:dyDescent="0.3">
      <c r="B68" s="21" t="s">
        <v>41</v>
      </c>
      <c r="C68" s="29">
        <f>G49</f>
        <v>229446</v>
      </c>
      <c r="D68" s="21" t="s">
        <v>29</v>
      </c>
      <c r="E68" s="22">
        <v>44420</v>
      </c>
      <c r="F68" s="21" t="s">
        <v>51</v>
      </c>
      <c r="G68" s="22">
        <f>H55</f>
        <v>8517</v>
      </c>
      <c r="H68" s="21" t="s">
        <v>52</v>
      </c>
      <c r="I68" s="22">
        <f>D61</f>
        <v>29835</v>
      </c>
    </row>
    <row r="69" spans="2:9" ht="21" customHeight="1" x14ac:dyDescent="0.3">
      <c r="B69" s="23" t="s">
        <v>42</v>
      </c>
      <c r="C69" s="30">
        <f>G47</f>
        <v>221511</v>
      </c>
      <c r="D69" s="25" t="s">
        <v>48</v>
      </c>
      <c r="E69" s="24">
        <f>D59</f>
        <v>21798</v>
      </c>
      <c r="F69" s="25" t="s">
        <v>31</v>
      </c>
      <c r="G69" s="24">
        <f>G68</f>
        <v>8517</v>
      </c>
      <c r="H69" s="23" t="s">
        <v>35</v>
      </c>
      <c r="I69" s="24">
        <f>G73</f>
        <v>36030</v>
      </c>
    </row>
    <row r="70" spans="2:9" ht="21" customHeight="1" x14ac:dyDescent="0.3">
      <c r="B70" s="25" t="s">
        <v>43</v>
      </c>
      <c r="C70" s="30">
        <f>C68-C69</f>
        <v>7935</v>
      </c>
      <c r="D70" s="25" t="s">
        <v>49</v>
      </c>
      <c r="E70" s="24">
        <v>21798</v>
      </c>
      <c r="F70" s="25" t="s">
        <v>30</v>
      </c>
      <c r="G70" s="24">
        <f>G68-G69</f>
        <v>0</v>
      </c>
      <c r="H70" s="28" t="s">
        <v>53</v>
      </c>
      <c r="I70" s="24">
        <f>E61</f>
        <v>26520</v>
      </c>
    </row>
    <row r="71" spans="2:9" ht="21" customHeight="1" x14ac:dyDescent="0.3">
      <c r="B71" s="25"/>
      <c r="C71" s="30"/>
      <c r="D71" s="25" t="s">
        <v>30</v>
      </c>
      <c r="E71" s="24">
        <f>E69-E70</f>
        <v>0</v>
      </c>
      <c r="F71" s="25" t="s">
        <v>32</v>
      </c>
      <c r="G71" s="24">
        <f>I55</f>
        <v>21315</v>
      </c>
      <c r="H71" s="23" t="s">
        <v>54</v>
      </c>
      <c r="I71" s="24">
        <f>I68+I69-I70</f>
        <v>39345</v>
      </c>
    </row>
    <row r="72" spans="2:9" ht="21" customHeight="1" x14ac:dyDescent="0.3">
      <c r="B72" s="25" t="s">
        <v>44</v>
      </c>
      <c r="C72" s="30">
        <f>C68</f>
        <v>229446</v>
      </c>
      <c r="D72" s="25" t="s">
        <v>50</v>
      </c>
      <c r="E72" s="24">
        <f>E59</f>
        <v>26505</v>
      </c>
      <c r="F72" s="25" t="s">
        <v>34</v>
      </c>
      <c r="G72" s="24">
        <v>14715</v>
      </c>
      <c r="H72" s="25"/>
      <c r="I72" s="24"/>
    </row>
    <row r="73" spans="2:9" ht="21" customHeight="1" x14ac:dyDescent="0.3">
      <c r="B73" s="23" t="s">
        <v>45</v>
      </c>
      <c r="C73" s="30">
        <v>11700</v>
      </c>
      <c r="D73" s="25" t="s">
        <v>73</v>
      </c>
      <c r="E73" s="24">
        <f>E68+E72</f>
        <v>70925</v>
      </c>
      <c r="F73" s="25" t="s">
        <v>33</v>
      </c>
      <c r="G73" s="24">
        <f>G71+G72</f>
        <v>36030</v>
      </c>
      <c r="H73" s="25"/>
      <c r="I73" s="24"/>
    </row>
    <row r="74" spans="2:9" ht="21" customHeight="1" x14ac:dyDescent="0.3">
      <c r="B74" s="25" t="s">
        <v>46</v>
      </c>
      <c r="C74" s="30">
        <f>C72+C73</f>
        <v>241146</v>
      </c>
      <c r="D74" s="25"/>
      <c r="E74" s="24"/>
      <c r="F74" s="25"/>
      <c r="G74" s="24"/>
      <c r="H74" s="25"/>
      <c r="I74" s="24"/>
    </row>
    <row r="75" spans="2:9" ht="21" customHeight="1" x14ac:dyDescent="0.3">
      <c r="B75" s="23" t="s">
        <v>47</v>
      </c>
      <c r="C75" s="30">
        <f>C69</f>
        <v>221511</v>
      </c>
      <c r="D75" s="25"/>
      <c r="E75" s="24"/>
      <c r="F75" s="25"/>
      <c r="G75" s="24"/>
      <c r="H75" s="25"/>
      <c r="I75" s="24"/>
    </row>
    <row r="76" spans="2:9" ht="21" customHeight="1" thickBot="1" x14ac:dyDescent="0.35">
      <c r="B76" s="26" t="s">
        <v>28</v>
      </c>
      <c r="C76" s="31">
        <f>C74-C75</f>
        <v>19635</v>
      </c>
      <c r="D76" s="26"/>
      <c r="E76" s="27"/>
      <c r="F76" s="26"/>
      <c r="G76" s="27"/>
      <c r="H76" s="26"/>
      <c r="I76" s="27"/>
    </row>
    <row r="77" spans="2:9" ht="15" thickBot="1" x14ac:dyDescent="0.35"/>
    <row r="78" spans="2:9" ht="20.399999999999999" customHeight="1" thickBot="1" x14ac:dyDescent="0.35">
      <c r="B78" s="33" t="s">
        <v>78</v>
      </c>
      <c r="C78" s="34"/>
      <c r="D78" s="33" t="s">
        <v>79</v>
      </c>
      <c r="E78" s="34"/>
      <c r="F78" s="33" t="s">
        <v>80</v>
      </c>
      <c r="G78" s="34"/>
      <c r="H78" s="35" t="s">
        <v>81</v>
      </c>
      <c r="I78" s="36"/>
    </row>
    <row r="79" spans="2:9" ht="20.399999999999999" customHeight="1" x14ac:dyDescent="0.3">
      <c r="B79" s="21" t="s">
        <v>55</v>
      </c>
      <c r="C79" s="22">
        <f>C49</f>
        <v>157950</v>
      </c>
      <c r="D79" s="21" t="s">
        <v>58</v>
      </c>
      <c r="E79" s="22">
        <f>C53</f>
        <v>5928</v>
      </c>
      <c r="F79" s="21" t="s">
        <v>60</v>
      </c>
      <c r="G79" s="22">
        <f>D55</f>
        <v>4857</v>
      </c>
      <c r="H79" s="21" t="s">
        <v>62</v>
      </c>
      <c r="I79" s="22">
        <f>C50</f>
        <v>13260</v>
      </c>
    </row>
    <row r="80" spans="2:9" ht="20.399999999999999" customHeight="1" x14ac:dyDescent="0.3">
      <c r="B80" s="23" t="s">
        <v>56</v>
      </c>
      <c r="C80" s="24">
        <f>C47</f>
        <v>156000</v>
      </c>
      <c r="D80" s="23" t="s">
        <v>59</v>
      </c>
      <c r="E80" s="24">
        <f>C51</f>
        <v>5304</v>
      </c>
      <c r="F80" s="23" t="s">
        <v>36</v>
      </c>
      <c r="G80" s="24">
        <v>408</v>
      </c>
      <c r="H80" s="23" t="s">
        <v>63</v>
      </c>
      <c r="I80" s="24">
        <v>23400</v>
      </c>
    </row>
    <row r="81" spans="2:11" ht="20.399999999999999" customHeight="1" x14ac:dyDescent="0.3">
      <c r="B81" s="25" t="s">
        <v>57</v>
      </c>
      <c r="C81" s="24">
        <f>C79-C80</f>
        <v>1950</v>
      </c>
      <c r="D81" s="25" t="s">
        <v>57</v>
      </c>
      <c r="E81" s="24">
        <f>E79-E80</f>
        <v>624</v>
      </c>
      <c r="F81" s="23" t="s">
        <v>61</v>
      </c>
      <c r="G81" s="24">
        <f>G79+G80</f>
        <v>5265</v>
      </c>
      <c r="H81" s="23" t="s">
        <v>64</v>
      </c>
      <c r="I81" s="24">
        <f>I79+I80</f>
        <v>36660</v>
      </c>
    </row>
    <row r="82" spans="2:11" ht="20.399999999999999" customHeight="1" thickBot="1" x14ac:dyDescent="0.35">
      <c r="B82" s="26"/>
      <c r="C82" s="27"/>
      <c r="D82" s="26"/>
      <c r="E82" s="27"/>
      <c r="F82" s="26"/>
      <c r="G82" s="27"/>
      <c r="H82" s="26"/>
      <c r="I82" s="27"/>
    </row>
    <row r="83" spans="2:11" ht="20.399999999999999" customHeight="1" thickBot="1" x14ac:dyDescent="0.35">
      <c r="B83" s="32"/>
      <c r="C83" s="32"/>
      <c r="D83" s="32"/>
      <c r="E83" s="32"/>
      <c r="F83" s="32"/>
      <c r="G83" s="32"/>
      <c r="H83" s="32"/>
      <c r="I83" s="32"/>
    </row>
    <row r="84" spans="2:11" ht="20.399999999999999" customHeight="1" thickBot="1" x14ac:dyDescent="0.35">
      <c r="B84" s="33" t="s">
        <v>82</v>
      </c>
      <c r="C84" s="34"/>
      <c r="D84" s="35" t="s">
        <v>83</v>
      </c>
      <c r="E84" s="36"/>
      <c r="F84" s="35" t="s">
        <v>84</v>
      </c>
      <c r="G84" s="37"/>
      <c r="H84" s="40" t="s">
        <v>85</v>
      </c>
      <c r="I84" s="41"/>
      <c r="J84" s="40" t="s">
        <v>86</v>
      </c>
      <c r="K84" s="41"/>
    </row>
    <row r="85" spans="2:11" ht="20.399999999999999" customHeight="1" x14ac:dyDescent="0.3">
      <c r="B85" s="21" t="s">
        <v>65</v>
      </c>
      <c r="C85" s="22">
        <f>D63</f>
        <v>3150</v>
      </c>
      <c r="D85" s="21" t="s">
        <v>68</v>
      </c>
      <c r="E85" s="22">
        <f>D64</f>
        <v>5559</v>
      </c>
      <c r="F85" s="21" t="s">
        <v>71</v>
      </c>
      <c r="G85" s="38">
        <f>H51</f>
        <v>8385</v>
      </c>
      <c r="H85" s="21"/>
      <c r="I85" s="22"/>
      <c r="J85" s="21"/>
      <c r="K85" s="22"/>
    </row>
    <row r="86" spans="2:11" ht="20.399999999999999" customHeight="1" x14ac:dyDescent="0.3">
      <c r="B86" s="23" t="s">
        <v>66</v>
      </c>
      <c r="C86" s="24">
        <f>E63</f>
        <v>2826</v>
      </c>
      <c r="D86" s="23" t="s">
        <v>37</v>
      </c>
      <c r="E86" s="24">
        <v>1671</v>
      </c>
      <c r="F86" s="23" t="s">
        <v>38</v>
      </c>
      <c r="G86" s="7">
        <v>20865</v>
      </c>
      <c r="H86" s="25"/>
      <c r="I86" s="24"/>
      <c r="J86" s="25"/>
      <c r="K86" s="24"/>
    </row>
    <row r="87" spans="2:11" ht="20.399999999999999" customHeight="1" x14ac:dyDescent="0.3">
      <c r="B87" s="25" t="s">
        <v>67</v>
      </c>
      <c r="C87" s="24">
        <f>C85-C86</f>
        <v>324</v>
      </c>
      <c r="D87" s="23" t="s">
        <v>69</v>
      </c>
      <c r="E87" s="24">
        <f>E64</f>
        <v>6630</v>
      </c>
      <c r="F87" s="23" t="s">
        <v>72</v>
      </c>
      <c r="G87" s="7">
        <f>G85+G86</f>
        <v>29250</v>
      </c>
      <c r="H87" s="25"/>
      <c r="I87" s="24"/>
      <c r="J87" s="25"/>
      <c r="K87" s="24"/>
    </row>
    <row r="88" spans="2:11" ht="20.399999999999999" customHeight="1" thickBot="1" x14ac:dyDescent="0.35">
      <c r="B88" s="26"/>
      <c r="C88" s="27"/>
      <c r="D88" s="26" t="s">
        <v>70</v>
      </c>
      <c r="E88" s="27">
        <f>E85+E86-E87</f>
        <v>600</v>
      </c>
      <c r="F88" s="26"/>
      <c r="G88" s="39"/>
      <c r="H88" s="26"/>
      <c r="I88" s="27"/>
      <c r="J88" s="26"/>
      <c r="K88" s="27"/>
    </row>
    <row r="89" spans="2:11" ht="20.399999999999999" customHeight="1" x14ac:dyDescent="0.3"/>
  </sheetData>
  <mergeCells count="19">
    <mergeCell ref="J84:K84"/>
    <mergeCell ref="A1:K16"/>
    <mergeCell ref="M1:U16"/>
    <mergeCell ref="A17:K40"/>
    <mergeCell ref="M18:V41"/>
    <mergeCell ref="B43:E43"/>
    <mergeCell ref="F43:I43"/>
    <mergeCell ref="B84:C84"/>
    <mergeCell ref="D67:E67"/>
    <mergeCell ref="B67:C67"/>
    <mergeCell ref="H67:I67"/>
    <mergeCell ref="B78:C78"/>
    <mergeCell ref="D78:E78"/>
    <mergeCell ref="F78:G78"/>
    <mergeCell ref="F67:G67"/>
    <mergeCell ref="H78:I78"/>
    <mergeCell ref="D84:E84"/>
    <mergeCell ref="F84:G84"/>
    <mergeCell ref="H84:I8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Fazal Rahman</cp:lastModifiedBy>
  <dcterms:created xsi:type="dcterms:W3CDTF">2015-06-05T18:17:20Z</dcterms:created>
  <dcterms:modified xsi:type="dcterms:W3CDTF">2025-01-31T19:26:52Z</dcterms:modified>
</cp:coreProperties>
</file>