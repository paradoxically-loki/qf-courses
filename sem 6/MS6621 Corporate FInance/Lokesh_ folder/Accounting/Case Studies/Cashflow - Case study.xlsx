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MS\Desktop\"/>
    </mc:Choice>
  </mc:AlternateContent>
  <bookViews>
    <workbookView xWindow="-108" yWindow="-108" windowWidth="23256" windowHeight="1257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0" i="1" l="1"/>
  <c r="P79" i="1"/>
  <c r="P78" i="1"/>
  <c r="N79" i="1"/>
  <c r="N77" i="1"/>
  <c r="N76" i="1"/>
  <c r="N75" i="1"/>
  <c r="N74" i="1"/>
  <c r="N71" i="1"/>
  <c r="N61" i="1"/>
  <c r="N49" i="1"/>
  <c r="P5" i="1"/>
  <c r="P6" i="1"/>
  <c r="P7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4" i="1"/>
</calcChain>
</file>

<file path=xl/sharedStrings.xml><?xml version="1.0" encoding="utf-8"?>
<sst xmlns="http://schemas.openxmlformats.org/spreadsheetml/2006/main" count="106" uniqueCount="71">
  <si>
    <t>Balance sheets as of Dec 31</t>
  </si>
  <si>
    <r>
      <rPr>
        <b/>
        <sz val="11"/>
        <rFont val="Verdana"/>
        <family val="2"/>
      </rPr>
      <t>20x1</t>
    </r>
  </si>
  <si>
    <r>
      <rPr>
        <b/>
        <sz val="11"/>
        <rFont val="Verdana"/>
        <family val="2"/>
      </rPr>
      <t>20x0</t>
    </r>
  </si>
  <si>
    <r>
      <rPr>
        <b/>
        <sz val="12"/>
        <rFont val="Calibri"/>
        <family val="2"/>
        <scheme val="minor"/>
      </rPr>
      <t>Assets</t>
    </r>
  </si>
  <si>
    <r>
      <rPr>
        <sz val="12"/>
        <rFont val="Calibri"/>
        <family val="2"/>
        <scheme val="minor"/>
      </rPr>
      <t>Cash</t>
    </r>
  </si>
  <si>
    <r>
      <rPr>
        <sz val="12"/>
        <rFont val="Calibri"/>
        <family val="2"/>
        <scheme val="minor"/>
      </rPr>
      <t>Accounts receivable</t>
    </r>
  </si>
  <si>
    <r>
      <rPr>
        <sz val="12"/>
        <rFont val="Calibri"/>
        <family val="2"/>
        <scheme val="minor"/>
      </rPr>
      <t>Inventories</t>
    </r>
  </si>
  <si>
    <r>
      <rPr>
        <sz val="12"/>
        <rFont val="Calibri"/>
        <family val="2"/>
        <scheme val="minor"/>
      </rPr>
      <t>Prepaid expenses</t>
    </r>
  </si>
  <si>
    <t xml:space="preserve">                   Total current assets</t>
  </si>
  <si>
    <r>
      <rPr>
        <sz val="12"/>
        <rFont val="Calibri"/>
        <family val="2"/>
        <scheme val="minor"/>
      </rPr>
      <t>Investments</t>
    </r>
  </si>
  <si>
    <r>
      <rPr>
        <sz val="12"/>
        <rFont val="Calibri"/>
        <family val="2"/>
        <scheme val="minor"/>
      </rPr>
      <t>Property, plant, and equipment, at cost</t>
    </r>
  </si>
  <si>
    <t xml:space="preserve">      Less accumulated depreciation</t>
  </si>
  <si>
    <r>
      <rPr>
        <sz val="12"/>
        <rFont val="Calibri"/>
        <family val="2"/>
        <scheme val="minor"/>
      </rPr>
      <t>Net property, plant, and equipment</t>
    </r>
  </si>
  <si>
    <r>
      <rPr>
        <sz val="12"/>
        <rFont val="Calibri"/>
        <family val="2"/>
        <scheme val="minor"/>
      </rPr>
      <t>Goodwill</t>
    </r>
  </si>
  <si>
    <r>
      <rPr>
        <sz val="12"/>
        <rFont val="Calibri"/>
        <family val="2"/>
        <scheme val="minor"/>
      </rPr>
      <t>Other assets</t>
    </r>
  </si>
  <si>
    <t xml:space="preserve">                    Total assets</t>
  </si>
  <si>
    <r>
      <rPr>
        <b/>
        <sz val="12"/>
        <rFont val="Calibri"/>
        <family val="2"/>
        <scheme val="minor"/>
      </rPr>
      <t>Liabilities and Shareholders’ Equity</t>
    </r>
  </si>
  <si>
    <r>
      <rPr>
        <sz val="12"/>
        <rFont val="Calibri"/>
        <family val="2"/>
        <scheme val="minor"/>
      </rPr>
      <t>Accounts payable</t>
    </r>
  </si>
  <si>
    <r>
      <rPr>
        <sz val="12"/>
        <rFont val="Calibri"/>
        <family val="2"/>
        <scheme val="minor"/>
      </rPr>
      <t>Short-term debt</t>
    </r>
  </si>
  <si>
    <r>
      <rPr>
        <sz val="12"/>
        <rFont val="Calibri"/>
        <family val="2"/>
        <scheme val="minor"/>
      </rPr>
      <t>Accrued expenses payable</t>
    </r>
  </si>
  <si>
    <t xml:space="preserve">                    Total current liabilities</t>
  </si>
  <si>
    <t>Long-term liabilities</t>
  </si>
  <si>
    <t xml:space="preserve">                    Total liabilities</t>
  </si>
  <si>
    <r>
      <rPr>
        <sz val="12"/>
        <rFont val="Calibri"/>
        <family val="2"/>
        <scheme val="minor"/>
      </rPr>
      <t>Convertible preferred stock</t>
    </r>
  </si>
  <si>
    <r>
      <rPr>
        <sz val="12"/>
        <rFont val="Calibri"/>
        <family val="2"/>
        <scheme val="minor"/>
      </rPr>
      <t>Common stock, at par</t>
    </r>
  </si>
  <si>
    <r>
      <rPr>
        <sz val="12"/>
        <rFont val="Calibri"/>
        <family val="2"/>
        <scheme val="minor"/>
      </rPr>
      <t>Additional paid-in capital</t>
    </r>
  </si>
  <si>
    <r>
      <rPr>
        <sz val="12"/>
        <rFont val="Calibri"/>
        <family val="2"/>
        <scheme val="minor"/>
      </rPr>
      <t>Treasury stock, at cost</t>
    </r>
  </si>
  <si>
    <r>
      <rPr>
        <sz val="12"/>
        <rFont val="Calibri"/>
        <family val="2"/>
        <scheme val="minor"/>
      </rPr>
      <t>Retained earnings</t>
    </r>
  </si>
  <si>
    <t xml:space="preserve">            Total shareholders’ equity</t>
  </si>
  <si>
    <t xml:space="preserve">                 Total liabilities and shareholders’ equity</t>
  </si>
  <si>
    <t>Change</t>
  </si>
  <si>
    <t>-</t>
  </si>
  <si>
    <t>+</t>
  </si>
  <si>
    <t>COF in IA</t>
  </si>
  <si>
    <t>IA= CIF</t>
  </si>
  <si>
    <t>Net Income</t>
  </si>
  <si>
    <t>Add beck Dep</t>
  </si>
  <si>
    <t>Add back loss on sale of Equpi</t>
  </si>
  <si>
    <t>Deduct Income from Subsidiary</t>
  </si>
  <si>
    <t>Deduct deffered tax decrease</t>
  </si>
  <si>
    <t>Investment Activities</t>
  </si>
  <si>
    <t>Financing Activities</t>
  </si>
  <si>
    <t>Cash Out flows</t>
  </si>
  <si>
    <t>Cash inflow</t>
  </si>
  <si>
    <t>Sale</t>
  </si>
  <si>
    <t>Purchase of assets</t>
  </si>
  <si>
    <t>Purchase of GW</t>
  </si>
  <si>
    <t>Purchase Assets</t>
  </si>
  <si>
    <t>Dividends</t>
  </si>
  <si>
    <t>Purchase of Treasury stock</t>
  </si>
  <si>
    <t>Increase in STD</t>
  </si>
  <si>
    <t xml:space="preserve">Changes in Working Capital </t>
  </si>
  <si>
    <t>Deduct Increase in AR</t>
  </si>
  <si>
    <t>Deduct Increase in Inventory</t>
  </si>
  <si>
    <t>Add decrease in PPE</t>
  </si>
  <si>
    <t>Add Increase in AP</t>
  </si>
  <si>
    <t>Add increase in Accru Exp</t>
  </si>
  <si>
    <t>Net Cash from OA</t>
  </si>
  <si>
    <t>Net Cash from IA</t>
  </si>
  <si>
    <t>Net Cash from FA</t>
  </si>
  <si>
    <t xml:space="preserve">LTD payment </t>
  </si>
  <si>
    <t>Opening Balnce of cash</t>
  </si>
  <si>
    <t>NCFOA</t>
  </si>
  <si>
    <t>NCFIA</t>
  </si>
  <si>
    <t>NCFFA</t>
  </si>
  <si>
    <t>NFC</t>
  </si>
  <si>
    <t>Actual Closing Balance</t>
  </si>
  <si>
    <t>Differnce</t>
  </si>
  <si>
    <t>Cash Payment for mis .activities</t>
  </si>
  <si>
    <t/>
  </si>
  <si>
    <t>sum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</si>
</sst>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Verdana"/>
      <family val="2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0" fillId="0" borderId="0" xfId="0" applyNumberFormat="1"/>
    <xf numFmtId="164" fontId="0" fillId="3" borderId="0" xfId="0" applyNumberFormat="1" applyFill="1"/>
    <xf numFmtId="0" fontId="0" fillId="0" borderId="0" xfId="0" quotePrefix="1" applyAlignment="1">
      <alignment horizontal="center"/>
    </xf>
    <xf numFmtId="0" fontId="12" fillId="0" borderId="0" xfId="0" quotePrefix="1" applyFont="1" applyAlignment="1">
      <alignment horizontal="center"/>
    </xf>
    <xf numFmtId="0" fontId="13" fillId="0" borderId="0" xfId="0" quotePrefix="1" applyFont="1" applyAlignment="1">
      <alignment horizontal="center"/>
    </xf>
    <xf numFmtId="0" fontId="14" fillId="0" borderId="0" xfId="0" quotePrefix="1" applyFont="1" applyAlignment="1">
      <alignment horizont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10" fillId="0" borderId="0" xfId="0" applyNumberFormat="1" applyFont="1"/>
    <xf numFmtId="0" fontId="11" fillId="0" borderId="0" xfId="0" applyFont="1"/>
    <xf numFmtId="0" fontId="0" fillId="3" borderId="0" xfId="0" applyFill="1"/>
    <xf numFmtId="0" fontId="11" fillId="3" borderId="0" xfId="0" applyFont="1" applyFill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2</xdr:row>
      <xdr:rowOff>15240</xdr:rowOff>
    </xdr:from>
    <xdr:to>
      <xdr:col>10</xdr:col>
      <xdr:colOff>10709</xdr:colOff>
      <xdr:row>39</xdr:row>
      <xdr:rowOff>13575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D82160-A7B4-79CE-7795-5449B1464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" y="381000"/>
          <a:ext cx="5771429" cy="7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475429</xdr:colOff>
      <xdr:row>61</xdr:row>
      <xdr:rowOff>170971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07CCAF-41C0-0C34-504C-A5E3F2FF6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39100"/>
          <a:ext cx="6571429" cy="3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Q81"/>
  <sheetViews>
    <sheetView tabSelected="1" topLeftCell="G73" zoomScale="130" zoomScaleNormal="130" workbookViewId="0">
      <selection activeCell="P4" sqref="P4"/>
    </sheetView>
  </sheetViews>
  <sheetFormatPr defaultRowHeight="14.4" x14ac:dyDescent="0.3"/>
  <cols>
    <col min="13" max="13" width="32.88671875" customWidth="1"/>
    <col min="14" max="14" width="21" customWidth="1"/>
    <col min="15" max="15" width="28.21875" customWidth="1"/>
    <col min="16" max="16" width="16.21875" customWidth="1"/>
    <col min="17" max="17" width="12.21875" customWidth="1"/>
  </cols>
  <sheetData>
    <row r="1" spans="13:17" ht="15" thickBot="1" x14ac:dyDescent="0.35"/>
    <row r="2" spans="13:17" ht="15" thickBot="1" x14ac:dyDescent="0.35">
      <c r="M2" s="2" t="s">
        <v>0</v>
      </c>
      <c r="N2" s="3" t="s">
        <v>1</v>
      </c>
      <c r="O2" s="3" t="s">
        <v>2</v>
      </c>
      <c r="P2" t="s">
        <v>30</v>
      </c>
    </row>
    <row r="3" spans="13:17" ht="15.6" x14ac:dyDescent="0.3">
      <c r="M3" s="5" t="s">
        <v>3</v>
      </c>
      <c r="N3" s="6"/>
      <c r="O3" s="7"/>
    </row>
    <row r="4" spans="13:17" ht="15.6" x14ac:dyDescent="0.3">
      <c r="M4" s="8" t="s">
        <v>4</v>
      </c>
      <c r="N4" s="9">
        <v>28912</v>
      </c>
      <c r="O4" s="10">
        <v>23952</v>
      </c>
      <c r="P4" s="34">
        <f>N4-O4</f>
        <v>4960</v>
      </c>
    </row>
    <row r="5" spans="13:17" ht="21" x14ac:dyDescent="0.4">
      <c r="M5" s="8" t="s">
        <v>5</v>
      </c>
      <c r="N5" s="9">
        <v>756152</v>
      </c>
      <c r="O5" s="10">
        <v>687325</v>
      </c>
      <c r="P5" s="33">
        <f t="shared" ref="P5:P33" si="0">N5-O5</f>
        <v>68827</v>
      </c>
      <c r="Q5" s="38" t="s">
        <v>31</v>
      </c>
    </row>
    <row r="6" spans="13:17" ht="21" x14ac:dyDescent="0.4">
      <c r="M6" s="8" t="s">
        <v>6</v>
      </c>
      <c r="N6" s="9">
        <v>1244912</v>
      </c>
      <c r="O6" s="10">
        <v>1225402</v>
      </c>
      <c r="P6" s="33">
        <f t="shared" si="0"/>
        <v>19510</v>
      </c>
      <c r="Q6" s="38" t="s">
        <v>31</v>
      </c>
    </row>
    <row r="7" spans="13:17" ht="15.6" x14ac:dyDescent="0.3">
      <c r="M7" s="8" t="s">
        <v>7</v>
      </c>
      <c r="N7" s="9">
        <v>76140</v>
      </c>
      <c r="O7" s="10">
        <v>77167</v>
      </c>
      <c r="P7" s="33">
        <f t="shared" si="0"/>
        <v>-1027</v>
      </c>
      <c r="Q7" s="35" t="s">
        <v>32</v>
      </c>
    </row>
    <row r="8" spans="13:17" ht="16.2" thickBot="1" x14ac:dyDescent="0.35">
      <c r="M8" s="11" t="s">
        <v>8</v>
      </c>
      <c r="N8" s="12">
        <v>2106116</v>
      </c>
      <c r="O8" s="13">
        <v>2013846</v>
      </c>
      <c r="P8" s="33"/>
    </row>
    <row r="9" spans="13:17" ht="15.6" x14ac:dyDescent="0.3">
      <c r="M9" s="11"/>
      <c r="N9" s="14"/>
      <c r="O9" s="15"/>
      <c r="P9" s="33"/>
    </row>
    <row r="10" spans="13:17" ht="15.6" x14ac:dyDescent="0.3">
      <c r="M10" s="8" t="s">
        <v>9</v>
      </c>
      <c r="N10" s="9">
        <v>1116534</v>
      </c>
      <c r="O10" s="10">
        <v>1058637</v>
      </c>
      <c r="P10" s="42">
        <f t="shared" si="0"/>
        <v>57897</v>
      </c>
      <c r="Q10" s="35" t="s">
        <v>33</v>
      </c>
    </row>
    <row r="11" spans="13:17" ht="15.6" x14ac:dyDescent="0.3">
      <c r="M11" s="8" t="s">
        <v>10</v>
      </c>
      <c r="N11" s="39">
        <v>1566268</v>
      </c>
      <c r="O11" s="40">
        <v>1366719</v>
      </c>
      <c r="P11" s="42">
        <f t="shared" si="0"/>
        <v>199549</v>
      </c>
    </row>
    <row r="12" spans="13:17" ht="15.6" x14ac:dyDescent="0.3">
      <c r="M12" s="16" t="s">
        <v>11</v>
      </c>
      <c r="N12" s="39">
        <v>723442</v>
      </c>
      <c r="O12" s="40">
        <v>645734</v>
      </c>
      <c r="P12" s="42">
        <f t="shared" si="0"/>
        <v>77708</v>
      </c>
    </row>
    <row r="13" spans="13:17" ht="16.2" thickBot="1" x14ac:dyDescent="0.35">
      <c r="M13" s="8" t="s">
        <v>12</v>
      </c>
      <c r="N13" s="17">
        <v>842826</v>
      </c>
      <c r="O13" s="18">
        <v>720985</v>
      </c>
      <c r="P13" s="42">
        <f t="shared" si="0"/>
        <v>121841</v>
      </c>
    </row>
    <row r="14" spans="13:17" ht="15.6" x14ac:dyDescent="0.3">
      <c r="M14" s="8" t="s">
        <v>13</v>
      </c>
      <c r="N14" s="19">
        <v>645210</v>
      </c>
      <c r="O14" s="20">
        <v>577606</v>
      </c>
      <c r="P14" s="42">
        <f t="shared" si="0"/>
        <v>67604</v>
      </c>
    </row>
    <row r="15" spans="13:17" ht="15.6" x14ac:dyDescent="0.3">
      <c r="M15" s="8" t="s">
        <v>14</v>
      </c>
      <c r="N15" s="9">
        <v>115826</v>
      </c>
      <c r="O15" s="10">
        <v>62374</v>
      </c>
      <c r="P15" s="42">
        <f t="shared" si="0"/>
        <v>53452</v>
      </c>
    </row>
    <row r="16" spans="13:17" ht="16.2" thickBot="1" x14ac:dyDescent="0.35">
      <c r="M16" s="21" t="s">
        <v>15</v>
      </c>
      <c r="N16" s="12">
        <v>4826512</v>
      </c>
      <c r="O16" s="13">
        <v>4433448</v>
      </c>
      <c r="P16" s="33">
        <f t="shared" si="0"/>
        <v>393064</v>
      </c>
    </row>
    <row r="17" spans="13:17" ht="15.6" x14ac:dyDescent="0.3">
      <c r="M17" s="22"/>
      <c r="N17" s="14"/>
      <c r="O17" s="15"/>
      <c r="P17" s="33">
        <f t="shared" si="0"/>
        <v>0</v>
      </c>
    </row>
    <row r="18" spans="13:17" ht="15.6" x14ac:dyDescent="0.3">
      <c r="M18" s="8" t="s">
        <v>16</v>
      </c>
      <c r="N18" s="23"/>
      <c r="O18" s="24"/>
      <c r="P18" s="33">
        <f t="shared" si="0"/>
        <v>0</v>
      </c>
    </row>
    <row r="19" spans="13:17" ht="18" x14ac:dyDescent="0.35">
      <c r="M19" s="8" t="s">
        <v>17</v>
      </c>
      <c r="N19" s="9">
        <v>271452</v>
      </c>
      <c r="O19" s="10">
        <v>238377</v>
      </c>
      <c r="P19" s="33">
        <f t="shared" si="0"/>
        <v>33075</v>
      </c>
      <c r="Q19" s="37" t="s">
        <v>32</v>
      </c>
    </row>
    <row r="20" spans="13:17" ht="15.6" x14ac:dyDescent="0.3">
      <c r="M20" s="8" t="s">
        <v>18</v>
      </c>
      <c r="N20" s="9">
        <v>430776</v>
      </c>
      <c r="O20" s="10">
        <v>351112</v>
      </c>
      <c r="P20" s="34">
        <f t="shared" si="0"/>
        <v>79664</v>
      </c>
      <c r="Q20" t="s">
        <v>34</v>
      </c>
    </row>
    <row r="21" spans="13:17" ht="15.6" x14ac:dyDescent="0.3">
      <c r="M21" s="8" t="s">
        <v>19</v>
      </c>
      <c r="N21" s="9">
        <v>922990</v>
      </c>
      <c r="O21" s="10">
        <v>728262</v>
      </c>
      <c r="P21" s="33">
        <f t="shared" si="0"/>
        <v>194728</v>
      </c>
      <c r="Q21" s="36" t="s">
        <v>32</v>
      </c>
    </row>
    <row r="22" spans="13:17" ht="16.2" thickBot="1" x14ac:dyDescent="0.35">
      <c r="M22" s="11" t="s">
        <v>20</v>
      </c>
      <c r="N22" s="12">
        <v>1625218</v>
      </c>
      <c r="O22" s="13">
        <v>1317751</v>
      </c>
      <c r="P22" s="33">
        <f t="shared" si="0"/>
        <v>307467</v>
      </c>
    </row>
    <row r="23" spans="13:17" ht="15.6" x14ac:dyDescent="0.3">
      <c r="M23" s="11"/>
      <c r="N23" s="14"/>
      <c r="O23" s="15"/>
      <c r="P23" s="33">
        <f t="shared" si="0"/>
        <v>0</v>
      </c>
    </row>
    <row r="24" spans="13:17" ht="15.6" x14ac:dyDescent="0.3">
      <c r="M24" s="25" t="s">
        <v>21</v>
      </c>
      <c r="N24" s="9">
        <v>880674</v>
      </c>
      <c r="O24" s="10">
        <v>932828</v>
      </c>
      <c r="P24" s="42">
        <f t="shared" si="0"/>
        <v>-52154</v>
      </c>
    </row>
    <row r="25" spans="13:17" ht="16.2" thickBot="1" x14ac:dyDescent="0.35">
      <c r="M25" s="11" t="s">
        <v>22</v>
      </c>
      <c r="N25" s="12">
        <v>2505892</v>
      </c>
      <c r="O25" s="13">
        <v>2250579</v>
      </c>
      <c r="P25" s="33">
        <f t="shared" si="0"/>
        <v>255313</v>
      </c>
    </row>
    <row r="26" spans="13:17" ht="15.6" x14ac:dyDescent="0.3">
      <c r="M26" s="11"/>
      <c r="N26" s="14"/>
      <c r="O26" s="15"/>
      <c r="P26" s="33">
        <f t="shared" si="0"/>
        <v>0</v>
      </c>
    </row>
    <row r="27" spans="13:17" ht="15.6" x14ac:dyDescent="0.3">
      <c r="M27" s="8" t="s">
        <v>23</v>
      </c>
      <c r="N27" s="9">
        <v>33828</v>
      </c>
      <c r="O27" s="10">
        <v>42611</v>
      </c>
      <c r="P27" s="33">
        <f t="shared" si="0"/>
        <v>-8783</v>
      </c>
    </row>
    <row r="28" spans="13:17" ht="15.6" x14ac:dyDescent="0.3">
      <c r="M28" s="8" t="s">
        <v>24</v>
      </c>
      <c r="N28" s="9">
        <v>322834</v>
      </c>
      <c r="O28" s="10">
        <v>161417</v>
      </c>
      <c r="P28" s="42">
        <f t="shared" si="0"/>
        <v>161417</v>
      </c>
    </row>
    <row r="29" spans="13:17" ht="15.6" x14ac:dyDescent="0.3">
      <c r="M29" s="8" t="s">
        <v>25</v>
      </c>
      <c r="N29" s="9">
        <v>53641</v>
      </c>
      <c r="O29" s="10">
        <v>57072</v>
      </c>
      <c r="P29" s="42">
        <f t="shared" si="0"/>
        <v>-3431</v>
      </c>
    </row>
    <row r="30" spans="13:17" ht="15.6" x14ac:dyDescent="0.3">
      <c r="M30" s="8" t="s">
        <v>26</v>
      </c>
      <c r="N30" s="31">
        <v>-110948</v>
      </c>
      <c r="O30" s="32">
        <v>-102705</v>
      </c>
      <c r="P30" s="42">
        <f t="shared" si="0"/>
        <v>-8243</v>
      </c>
    </row>
    <row r="31" spans="13:17" ht="15.6" x14ac:dyDescent="0.3">
      <c r="M31" s="8" t="s">
        <v>27</v>
      </c>
      <c r="N31" s="9">
        <v>2021265</v>
      </c>
      <c r="O31" s="10">
        <v>2024474</v>
      </c>
      <c r="P31" s="42">
        <f t="shared" si="0"/>
        <v>-3209</v>
      </c>
    </row>
    <row r="32" spans="13:17" ht="16.2" thickBot="1" x14ac:dyDescent="0.35">
      <c r="M32" s="11" t="s">
        <v>28</v>
      </c>
      <c r="N32" s="12">
        <v>2320620</v>
      </c>
      <c r="O32" s="13">
        <v>2182869</v>
      </c>
      <c r="P32" s="42">
        <f t="shared" si="0"/>
        <v>137751</v>
      </c>
    </row>
    <row r="33" spans="13:16" ht="16.2" thickBot="1" x14ac:dyDescent="0.35">
      <c r="M33" s="21" t="s">
        <v>29</v>
      </c>
      <c r="N33" s="26">
        <v>4826512</v>
      </c>
      <c r="O33" s="27">
        <v>4433448</v>
      </c>
      <c r="P33" s="33">
        <f t="shared" si="0"/>
        <v>393064</v>
      </c>
    </row>
    <row r="38" spans="13:16" x14ac:dyDescent="0.3">
      <c r="M38" s="43" t="s">
        <v>35</v>
      </c>
      <c r="N38">
        <v>328773</v>
      </c>
    </row>
    <row r="39" spans="13:16" x14ac:dyDescent="0.3">
      <c r="M39" t="s">
        <v>36</v>
      </c>
      <c r="N39">
        <v>115974</v>
      </c>
    </row>
    <row r="40" spans="13:16" x14ac:dyDescent="0.3">
      <c r="M40" t="s">
        <v>37</v>
      </c>
      <c r="N40">
        <v>66046</v>
      </c>
    </row>
    <row r="41" spans="13:16" x14ac:dyDescent="0.3">
      <c r="M41" t="s">
        <v>38</v>
      </c>
      <c r="N41">
        <v>-59610</v>
      </c>
    </row>
    <row r="42" spans="13:16" x14ac:dyDescent="0.3">
      <c r="M42" t="s">
        <v>39</v>
      </c>
      <c r="N42">
        <v>-17548</v>
      </c>
    </row>
    <row r="43" spans="13:16" x14ac:dyDescent="0.3">
      <c r="M43" s="43" t="s">
        <v>51</v>
      </c>
    </row>
    <row r="44" spans="13:16" x14ac:dyDescent="0.3">
      <c r="M44" t="s">
        <v>54</v>
      </c>
      <c r="N44">
        <v>1027</v>
      </c>
    </row>
    <row r="45" spans="13:16" x14ac:dyDescent="0.3">
      <c r="M45" t="s">
        <v>55</v>
      </c>
      <c r="N45">
        <v>33075</v>
      </c>
    </row>
    <row r="46" spans="13:16" x14ac:dyDescent="0.3">
      <c r="M46" t="s">
        <v>56</v>
      </c>
      <c r="N46" s="33">
        <v>194728</v>
      </c>
    </row>
    <row r="47" spans="13:16" x14ac:dyDescent="0.3">
      <c r="M47" t="s">
        <v>52</v>
      </c>
      <c r="N47">
        <v>-68827</v>
      </c>
    </row>
    <row r="48" spans="13:16" x14ac:dyDescent="0.3">
      <c r="M48" t="s">
        <v>53</v>
      </c>
      <c r="N48">
        <v>-19510</v>
      </c>
    </row>
    <row r="49" spans="13:14" x14ac:dyDescent="0.3">
      <c r="M49" t="s">
        <v>57</v>
      </c>
      <c r="N49" s="45">
        <f>SUM(N38:N48)</f>
        <v>574128</v>
      </c>
    </row>
    <row r="52" spans="13:14" x14ac:dyDescent="0.3">
      <c r="M52" t="s">
        <v>40</v>
      </c>
    </row>
    <row r="53" spans="13:14" x14ac:dyDescent="0.3">
      <c r="M53" t="s">
        <v>43</v>
      </c>
    </row>
    <row r="54" spans="13:14" x14ac:dyDescent="0.3">
      <c r="M54" s="41" t="s">
        <v>44</v>
      </c>
      <c r="N54">
        <v>33162</v>
      </c>
    </row>
    <row r="56" spans="13:14" x14ac:dyDescent="0.3">
      <c r="M56" t="s">
        <v>42</v>
      </c>
    </row>
    <row r="57" spans="13:14" x14ac:dyDescent="0.3">
      <c r="M57" s="41" t="s">
        <v>45</v>
      </c>
      <c r="N57">
        <v>-260075</v>
      </c>
    </row>
    <row r="58" spans="13:14" x14ac:dyDescent="0.3">
      <c r="M58" s="41" t="s">
        <v>47</v>
      </c>
      <c r="N58">
        <v>-31691</v>
      </c>
    </row>
    <row r="59" spans="13:14" x14ac:dyDescent="0.3">
      <c r="M59" s="41" t="s">
        <v>46</v>
      </c>
      <c r="N59">
        <v>-102030</v>
      </c>
    </row>
    <row r="60" spans="13:14" x14ac:dyDescent="0.3">
      <c r="M60" s="41" t="s">
        <v>49</v>
      </c>
      <c r="N60">
        <v>-30609</v>
      </c>
    </row>
    <row r="61" spans="13:14" x14ac:dyDescent="0.3">
      <c r="M61" t="s">
        <v>58</v>
      </c>
      <c r="N61" s="44">
        <f>SUM(N54:N60)</f>
        <v>-391243</v>
      </c>
    </row>
    <row r="63" spans="13:14" x14ac:dyDescent="0.3">
      <c r="M63" t="s">
        <v>41</v>
      </c>
    </row>
    <row r="64" spans="13:14" x14ac:dyDescent="0.3">
      <c r="M64" t="s">
        <v>43</v>
      </c>
    </row>
    <row r="65" spans="13:16" x14ac:dyDescent="0.3">
      <c r="M65" s="41" t="s">
        <v>50</v>
      </c>
      <c r="N65">
        <v>79664</v>
      </c>
    </row>
    <row r="68" spans="13:16" x14ac:dyDescent="0.3">
      <c r="M68" t="s">
        <v>42</v>
      </c>
    </row>
    <row r="69" spans="13:16" x14ac:dyDescent="0.3">
      <c r="M69" s="41" t="s">
        <v>48</v>
      </c>
      <c r="N69">
        <v>-216158</v>
      </c>
    </row>
    <row r="70" spans="13:16" x14ac:dyDescent="0.3">
      <c r="M70" t="s">
        <v>60</v>
      </c>
      <c r="N70">
        <v>-34606</v>
      </c>
    </row>
    <row r="71" spans="13:16" x14ac:dyDescent="0.3">
      <c r="M71" t="s">
        <v>59</v>
      </c>
      <c r="N71" s="44">
        <f>SUM(N65:N70)</f>
        <v>-171100</v>
      </c>
    </row>
    <row r="74" spans="13:16" x14ac:dyDescent="0.3">
      <c r="M74" t="s">
        <v>61</v>
      </c>
      <c r="N74" s="33">
        <f>O4</f>
        <v>23952</v>
      </c>
    </row>
    <row r="75" spans="13:16" x14ac:dyDescent="0.3">
      <c r="M75" t="s">
        <v>62</v>
      </c>
      <c r="N75">
        <f>N49</f>
        <v>574128</v>
      </c>
    </row>
    <row r="76" spans="13:16" x14ac:dyDescent="0.3">
      <c r="M76" t="s">
        <v>63</v>
      </c>
      <c r="N76">
        <f>N61</f>
        <v>-391243</v>
      </c>
    </row>
    <row r="77" spans="13:16" x14ac:dyDescent="0.3">
      <c r="M77" t="s">
        <v>64</v>
      </c>
      <c r="N77">
        <f>N71</f>
        <v>-171100</v>
      </c>
    </row>
    <row r="78" spans="13:16" x14ac:dyDescent="0.3">
      <c r="M78" t="s">
        <v>68</v>
      </c>
      <c r="N78">
        <v>-6825</v>
      </c>
      <c r="O78" t="s">
        <v>70</v>
      </c>
      <c r="P78" s="33">
        <f>N74+N75+N76+N77</f>
        <v>35737</v>
      </c>
    </row>
    <row r="79" spans="13:16" x14ac:dyDescent="0.3">
      <c r="M79" t="s">
        <v>65</v>
      </c>
      <c r="N79" s="33">
        <f>SUM(N74:N78)</f>
        <v>28912</v>
      </c>
      <c r="P79">
        <f>N80</f>
        <v>28912</v>
      </c>
    </row>
    <row r="80" spans="13:16" x14ac:dyDescent="0.3">
      <c r="M80" t="s">
        <v>66</v>
      </c>
      <c r="N80">
        <v>28912</v>
      </c>
      <c r="P80" s="33">
        <f>P78-P79</f>
        <v>6825</v>
      </c>
    </row>
    <row r="81" spans="13:14" x14ac:dyDescent="0.3">
      <c r="M81" t="s">
        <v>67</v>
      </c>
      <c r="N81" s="46" t="s">
        <v>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3"/>
  <sheetViews>
    <sheetView workbookViewId="0">
      <selection activeCell="B2" sqref="B2:D33"/>
    </sheetView>
  </sheetViews>
  <sheetFormatPr defaultRowHeight="14.4" x14ac:dyDescent="0.3"/>
  <cols>
    <col min="1" max="1" width="8.88671875" style="1"/>
    <col min="2" max="2" width="50.44140625" style="1" customWidth="1"/>
    <col min="3" max="3" width="16.21875" style="1" customWidth="1"/>
    <col min="4" max="4" width="14.44140625" style="1" bestFit="1" customWidth="1"/>
    <col min="5" max="16384" width="8.88671875" style="1"/>
  </cols>
  <sheetData>
    <row r="1" spans="2:4" ht="15" thickBot="1" x14ac:dyDescent="0.35"/>
    <row r="2" spans="2:4" s="4" customFormat="1" ht="22.2" customHeight="1" thickBot="1" x14ac:dyDescent="0.35">
      <c r="B2" s="2" t="s">
        <v>0</v>
      </c>
      <c r="C2" s="3" t="s">
        <v>1</v>
      </c>
      <c r="D2" s="3" t="s">
        <v>2</v>
      </c>
    </row>
    <row r="3" spans="2:4" s="4" customFormat="1" ht="22.2" customHeight="1" x14ac:dyDescent="0.3">
      <c r="B3" s="5" t="s">
        <v>3</v>
      </c>
      <c r="C3" s="6"/>
      <c r="D3" s="7"/>
    </row>
    <row r="4" spans="2:4" s="4" customFormat="1" ht="22.2" customHeight="1" x14ac:dyDescent="0.3">
      <c r="B4" s="8" t="s">
        <v>4</v>
      </c>
      <c r="C4" s="9">
        <v>28912</v>
      </c>
      <c r="D4" s="10">
        <v>23952</v>
      </c>
    </row>
    <row r="5" spans="2:4" s="4" customFormat="1" ht="22.2" customHeight="1" x14ac:dyDescent="0.3">
      <c r="B5" s="8" t="s">
        <v>5</v>
      </c>
      <c r="C5" s="9">
        <v>756152</v>
      </c>
      <c r="D5" s="10">
        <v>687325</v>
      </c>
    </row>
    <row r="6" spans="2:4" s="4" customFormat="1" ht="22.2" customHeight="1" x14ac:dyDescent="0.3">
      <c r="B6" s="8" t="s">
        <v>6</v>
      </c>
      <c r="C6" s="9">
        <v>1244912</v>
      </c>
      <c r="D6" s="10">
        <v>1225402</v>
      </c>
    </row>
    <row r="7" spans="2:4" s="4" customFormat="1" ht="22.2" customHeight="1" x14ac:dyDescent="0.3">
      <c r="B7" s="8" t="s">
        <v>7</v>
      </c>
      <c r="C7" s="9">
        <v>76140</v>
      </c>
      <c r="D7" s="10">
        <v>77167</v>
      </c>
    </row>
    <row r="8" spans="2:4" s="4" customFormat="1" ht="22.2" customHeight="1" thickBot="1" x14ac:dyDescent="0.35">
      <c r="B8" s="11" t="s">
        <v>8</v>
      </c>
      <c r="C8" s="12">
        <v>2106116</v>
      </c>
      <c r="D8" s="13">
        <v>2013846</v>
      </c>
    </row>
    <row r="9" spans="2:4" s="4" customFormat="1" ht="22.2" customHeight="1" x14ac:dyDescent="0.3">
      <c r="B9" s="11"/>
      <c r="C9" s="14"/>
      <c r="D9" s="15"/>
    </row>
    <row r="10" spans="2:4" s="4" customFormat="1" ht="22.2" customHeight="1" x14ac:dyDescent="0.3">
      <c r="B10" s="8" t="s">
        <v>9</v>
      </c>
      <c r="C10" s="9">
        <v>1116534</v>
      </c>
      <c r="D10" s="10">
        <v>1058637</v>
      </c>
    </row>
    <row r="11" spans="2:4" s="4" customFormat="1" ht="22.2" customHeight="1" x14ac:dyDescent="0.3">
      <c r="B11" s="8" t="s">
        <v>10</v>
      </c>
      <c r="C11" s="9">
        <v>1566268</v>
      </c>
      <c r="D11" s="10">
        <v>1366719</v>
      </c>
    </row>
    <row r="12" spans="2:4" s="4" customFormat="1" ht="22.2" customHeight="1" x14ac:dyDescent="0.3">
      <c r="B12" s="16" t="s">
        <v>11</v>
      </c>
      <c r="C12" s="9">
        <v>723442</v>
      </c>
      <c r="D12" s="10">
        <v>645734</v>
      </c>
    </row>
    <row r="13" spans="2:4" s="4" customFormat="1" ht="22.2" customHeight="1" thickBot="1" x14ac:dyDescent="0.35">
      <c r="B13" s="8" t="s">
        <v>12</v>
      </c>
      <c r="C13" s="17">
        <v>842826</v>
      </c>
      <c r="D13" s="18">
        <v>720985</v>
      </c>
    </row>
    <row r="14" spans="2:4" s="4" customFormat="1" ht="22.2" customHeight="1" x14ac:dyDescent="0.3">
      <c r="B14" s="8" t="s">
        <v>13</v>
      </c>
      <c r="C14" s="19">
        <v>645210</v>
      </c>
      <c r="D14" s="20">
        <v>577606</v>
      </c>
    </row>
    <row r="15" spans="2:4" s="4" customFormat="1" ht="22.2" customHeight="1" x14ac:dyDescent="0.3">
      <c r="B15" s="8" t="s">
        <v>14</v>
      </c>
      <c r="C15" s="9">
        <v>115826</v>
      </c>
      <c r="D15" s="10">
        <v>62374</v>
      </c>
    </row>
    <row r="16" spans="2:4" s="4" customFormat="1" ht="22.2" customHeight="1" thickBot="1" x14ac:dyDescent="0.35">
      <c r="B16" s="21" t="s">
        <v>15</v>
      </c>
      <c r="C16" s="12">
        <v>4826512</v>
      </c>
      <c r="D16" s="13">
        <v>4433448</v>
      </c>
    </row>
    <row r="17" spans="2:4" s="4" customFormat="1" ht="22.2" customHeight="1" x14ac:dyDescent="0.3">
      <c r="B17" s="22"/>
      <c r="C17" s="14"/>
      <c r="D17" s="15"/>
    </row>
    <row r="18" spans="2:4" s="4" customFormat="1" ht="22.2" customHeight="1" x14ac:dyDescent="0.3">
      <c r="B18" s="8" t="s">
        <v>16</v>
      </c>
      <c r="C18" s="23"/>
      <c r="D18" s="24"/>
    </row>
    <row r="19" spans="2:4" s="4" customFormat="1" ht="22.2" customHeight="1" x14ac:dyDescent="0.3">
      <c r="B19" s="8" t="s">
        <v>17</v>
      </c>
      <c r="C19" s="9">
        <v>271452</v>
      </c>
      <c r="D19" s="10">
        <v>238377</v>
      </c>
    </row>
    <row r="20" spans="2:4" s="4" customFormat="1" ht="22.2" customHeight="1" x14ac:dyDescent="0.3">
      <c r="B20" s="8" t="s">
        <v>18</v>
      </c>
      <c r="C20" s="9">
        <v>430776</v>
      </c>
      <c r="D20" s="10">
        <v>351112</v>
      </c>
    </row>
    <row r="21" spans="2:4" s="4" customFormat="1" ht="22.2" customHeight="1" x14ac:dyDescent="0.3">
      <c r="B21" s="8" t="s">
        <v>19</v>
      </c>
      <c r="C21" s="9">
        <v>922990</v>
      </c>
      <c r="D21" s="10">
        <v>728262</v>
      </c>
    </row>
    <row r="22" spans="2:4" s="4" customFormat="1" ht="22.2" customHeight="1" thickBot="1" x14ac:dyDescent="0.35">
      <c r="B22" s="11" t="s">
        <v>20</v>
      </c>
      <c r="C22" s="12">
        <v>1625218</v>
      </c>
      <c r="D22" s="13">
        <v>1317751</v>
      </c>
    </row>
    <row r="23" spans="2:4" s="4" customFormat="1" ht="22.2" customHeight="1" x14ac:dyDescent="0.3">
      <c r="B23" s="11"/>
      <c r="C23" s="14"/>
      <c r="D23" s="15"/>
    </row>
    <row r="24" spans="2:4" s="4" customFormat="1" ht="22.2" customHeight="1" x14ac:dyDescent="0.3">
      <c r="B24" s="25" t="s">
        <v>21</v>
      </c>
      <c r="C24" s="9">
        <v>880674</v>
      </c>
      <c r="D24" s="10">
        <v>932828</v>
      </c>
    </row>
    <row r="25" spans="2:4" s="4" customFormat="1" ht="22.2" customHeight="1" thickBot="1" x14ac:dyDescent="0.35">
      <c r="B25" s="11" t="s">
        <v>22</v>
      </c>
      <c r="C25" s="12">
        <v>2505892</v>
      </c>
      <c r="D25" s="13">
        <v>2250579</v>
      </c>
    </row>
    <row r="26" spans="2:4" s="4" customFormat="1" ht="22.2" customHeight="1" x14ac:dyDescent="0.3">
      <c r="B26" s="11"/>
      <c r="C26" s="14"/>
      <c r="D26" s="15"/>
    </row>
    <row r="27" spans="2:4" s="4" customFormat="1" ht="22.2" customHeight="1" x14ac:dyDescent="0.3">
      <c r="B27" s="8" t="s">
        <v>23</v>
      </c>
      <c r="C27" s="9">
        <v>33828</v>
      </c>
      <c r="D27" s="10">
        <v>42611</v>
      </c>
    </row>
    <row r="28" spans="2:4" s="4" customFormat="1" ht="22.2" customHeight="1" x14ac:dyDescent="0.3">
      <c r="B28" s="8" t="s">
        <v>24</v>
      </c>
      <c r="C28" s="9">
        <v>322834</v>
      </c>
      <c r="D28" s="10">
        <v>161417</v>
      </c>
    </row>
    <row r="29" spans="2:4" s="4" customFormat="1" ht="22.2" customHeight="1" x14ac:dyDescent="0.3">
      <c r="B29" s="8" t="s">
        <v>25</v>
      </c>
      <c r="C29" s="9">
        <v>53641</v>
      </c>
      <c r="D29" s="10">
        <v>57072</v>
      </c>
    </row>
    <row r="30" spans="2:4" s="4" customFormat="1" ht="22.2" customHeight="1" x14ac:dyDescent="0.3">
      <c r="B30" s="8" t="s">
        <v>26</v>
      </c>
      <c r="C30" s="31">
        <v>-110948</v>
      </c>
      <c r="D30" s="32">
        <v>-102705</v>
      </c>
    </row>
    <row r="31" spans="2:4" s="4" customFormat="1" ht="22.2" customHeight="1" x14ac:dyDescent="0.3">
      <c r="B31" s="8" t="s">
        <v>27</v>
      </c>
      <c r="C31" s="9">
        <v>2021265</v>
      </c>
      <c r="D31" s="10">
        <v>2024474</v>
      </c>
    </row>
    <row r="32" spans="2:4" s="4" customFormat="1" ht="22.2" customHeight="1" thickBot="1" x14ac:dyDescent="0.35">
      <c r="B32" s="11" t="s">
        <v>28</v>
      </c>
      <c r="C32" s="12">
        <v>2320620</v>
      </c>
      <c r="D32" s="13">
        <v>2182869</v>
      </c>
    </row>
    <row r="33" spans="2:6" s="4" customFormat="1" ht="22.2" customHeight="1" thickBot="1" x14ac:dyDescent="0.35">
      <c r="B33" s="21" t="s">
        <v>29</v>
      </c>
      <c r="C33" s="26">
        <v>4826512</v>
      </c>
      <c r="D33" s="27">
        <v>4433448</v>
      </c>
    </row>
    <row r="34" spans="2:6" s="4" customFormat="1" ht="22.2" customHeight="1" x14ac:dyDescent="0.3">
      <c r="B34" s="28"/>
    </row>
    <row r="35" spans="2:6" s="4" customFormat="1" ht="22.2" customHeight="1" x14ac:dyDescent="0.3">
      <c r="B35" s="29"/>
    </row>
    <row r="36" spans="2:6" s="4" customFormat="1" ht="22.2" customHeight="1" x14ac:dyDescent="0.3">
      <c r="B36" s="29"/>
    </row>
    <row r="37" spans="2:6" s="4" customFormat="1" ht="22.2" customHeight="1" x14ac:dyDescent="0.3">
      <c r="B37" s="29"/>
    </row>
    <row r="38" spans="2:6" s="4" customFormat="1" ht="22.2" customHeight="1" x14ac:dyDescent="0.3">
      <c r="B38" s="29"/>
    </row>
    <row r="39" spans="2:6" s="4" customFormat="1" ht="22.2" customHeight="1" x14ac:dyDescent="0.3">
      <c r="B39" s="29"/>
    </row>
    <row r="40" spans="2:6" s="4" customFormat="1" ht="22.2" customHeight="1" x14ac:dyDescent="0.3">
      <c r="B40" s="29"/>
      <c r="F40" s="30"/>
    </row>
    <row r="41" spans="2:6" s="4" customFormat="1" ht="22.2" customHeight="1" x14ac:dyDescent="0.3">
      <c r="B41" s="29"/>
    </row>
    <row r="42" spans="2:6" s="4" customFormat="1" ht="22.2" customHeight="1" x14ac:dyDescent="0.3">
      <c r="B42" s="29"/>
    </row>
    <row r="43" spans="2:6" s="4" customFormat="1" ht="22.2" customHeight="1" x14ac:dyDescent="0.3">
      <c r="B4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Rahman</dc:creator>
  <cp:lastModifiedBy>DoMS</cp:lastModifiedBy>
  <dcterms:created xsi:type="dcterms:W3CDTF">2025-02-07T08:43:28Z</dcterms:created>
  <dcterms:modified xsi:type="dcterms:W3CDTF">2025-02-11T06:27:26Z</dcterms:modified>
</cp:coreProperties>
</file>