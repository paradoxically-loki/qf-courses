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benjaminsvarod/Documents/"/>
    </mc:Choice>
  </mc:AlternateContent>
  <xr:revisionPtr revIDLastSave="0" documentId="13_ncr:1_{3F784025-E16C-BC4C-BBA7-222A10DFB8E2}" xr6:coauthVersionLast="47" xr6:coauthVersionMax="47" xr10:uidLastSave="{00000000-0000-0000-0000-000000000000}"/>
  <bookViews>
    <workbookView xWindow="0" yWindow="740" windowWidth="29400" windowHeight="17260" xr2:uid="{FD04E9E2-8B52-894D-BD5F-C169A78E3A7C}"/>
  </bookViews>
  <sheets>
    <sheet name="Ark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 l="1"/>
  <c r="G7" i="1" s="1"/>
  <c r="E11" i="1"/>
  <c r="E10" i="1"/>
  <c r="E9" i="1"/>
  <c r="E28" i="1" s="1"/>
  <c r="E31" i="1" s="1"/>
  <c r="G32" i="1" s="1"/>
  <c r="D10" i="1"/>
  <c r="D9" i="1"/>
  <c r="D28" i="1" s="1"/>
  <c r="D31" i="1" s="1"/>
  <c r="F32" i="1" s="1"/>
  <c r="C10" i="1"/>
  <c r="C9" i="1"/>
  <c r="C28" i="1" s="1"/>
  <c r="D27" i="1" s="1"/>
  <c r="B28" i="1"/>
  <c r="B27" i="1" s="1"/>
  <c r="B46" i="1" s="1"/>
  <c r="B48" i="1" s="1"/>
  <c r="C11" i="1"/>
  <c r="B12" i="1"/>
  <c r="B13" i="1" s="1"/>
  <c r="B51" i="1" s="1"/>
  <c r="B52" i="1" s="1"/>
  <c r="C31" i="1" l="1"/>
  <c r="E32" i="1" s="1"/>
  <c r="B30" i="1"/>
  <c r="B31" i="1"/>
  <c r="E27" i="1"/>
  <c r="E46" i="1" s="1"/>
  <c r="E48" i="1" s="1"/>
  <c r="C27" i="1"/>
  <c r="C46" i="1" s="1"/>
  <c r="C48" i="1" s="1"/>
  <c r="H7" i="1"/>
  <c r="G10" i="1"/>
  <c r="G9" i="1"/>
  <c r="C12" i="1"/>
  <c r="F9" i="1"/>
  <c r="F28" i="1" s="1"/>
  <c r="F31" i="1" s="1"/>
  <c r="H32" i="1" s="1"/>
  <c r="F10" i="1"/>
  <c r="D12" i="1"/>
  <c r="E12" i="1"/>
  <c r="H9" i="1"/>
  <c r="H10" i="1"/>
  <c r="I7" i="1"/>
  <c r="D46" i="1"/>
  <c r="D48" i="1" s="1"/>
  <c r="B33" i="1" l="1"/>
  <c r="C30" i="1" s="1"/>
  <c r="C33" i="1" s="1"/>
  <c r="D30" i="1" s="1"/>
  <c r="D33" i="1" s="1"/>
  <c r="E30" i="1" s="1"/>
  <c r="E33" i="1" s="1"/>
  <c r="F30" i="1" s="1"/>
  <c r="F33" i="1" s="1"/>
  <c r="G30" i="1" s="1"/>
  <c r="F27" i="1"/>
  <c r="F46" i="1" s="1"/>
  <c r="F48" i="1" s="1"/>
  <c r="F12" i="1"/>
  <c r="F13" i="1" s="1"/>
  <c r="F51" i="1" s="1"/>
  <c r="F52" i="1" s="1"/>
  <c r="G12" i="1"/>
  <c r="G28" i="1"/>
  <c r="G31" i="1" s="1"/>
  <c r="I32" i="1" s="1"/>
  <c r="G27" i="1"/>
  <c r="G46" i="1" s="1"/>
  <c r="G48" i="1" s="1"/>
  <c r="E13" i="1"/>
  <c r="E51" i="1" s="1"/>
  <c r="E52" i="1" s="1"/>
  <c r="D13" i="1"/>
  <c r="D51" i="1" s="1"/>
  <c r="D52" i="1" s="1"/>
  <c r="C13" i="1"/>
  <c r="C51" i="1" s="1"/>
  <c r="C52" i="1" s="1"/>
  <c r="I9" i="1"/>
  <c r="I10" i="1"/>
  <c r="J7" i="1"/>
  <c r="H12" i="1"/>
  <c r="H28" i="1"/>
  <c r="H31" i="1" s="1"/>
  <c r="J32" i="1" s="1"/>
  <c r="H13" i="1"/>
  <c r="H51" i="1" s="1"/>
  <c r="H52" i="1" s="1"/>
  <c r="G13" i="1"/>
  <c r="G51" i="1" s="1"/>
  <c r="G52" i="1" s="1"/>
  <c r="G33" i="1" l="1"/>
  <c r="H30" i="1" s="1"/>
  <c r="H33" i="1" s="1"/>
  <c r="I30" i="1" s="1"/>
  <c r="K7" i="1"/>
  <c r="J10" i="1"/>
  <c r="J9" i="1"/>
  <c r="H27" i="1"/>
  <c r="H46" i="1" s="1"/>
  <c r="H48" i="1" s="1"/>
  <c r="I12" i="1"/>
  <c r="I13" i="1" s="1"/>
  <c r="I51" i="1" s="1"/>
  <c r="I52" i="1" s="1"/>
  <c r="I28" i="1"/>
  <c r="I31" i="1" s="1"/>
  <c r="K32" i="1" s="1"/>
  <c r="I33" i="1" l="1"/>
  <c r="J30" i="1" s="1"/>
  <c r="I27" i="1"/>
  <c r="I46" i="1" s="1"/>
  <c r="I48" i="1" s="1"/>
  <c r="J28" i="1"/>
  <c r="J31" i="1" s="1"/>
  <c r="L32" i="1" s="1"/>
  <c r="J12" i="1"/>
  <c r="L7" i="1"/>
  <c r="K10" i="1"/>
  <c r="K9" i="1"/>
  <c r="J33" i="1" l="1"/>
  <c r="K30" i="1" s="1"/>
  <c r="K28" i="1"/>
  <c r="K31" i="1" s="1"/>
  <c r="M32" i="1" s="1"/>
  <c r="K12" i="1"/>
  <c r="M7" i="1"/>
  <c r="L10" i="1"/>
  <c r="L9" i="1"/>
  <c r="J13" i="1"/>
  <c r="J51" i="1" s="1"/>
  <c r="J52" i="1" s="1"/>
  <c r="K13" i="1"/>
  <c r="K51" i="1" s="1"/>
  <c r="K52" i="1" s="1"/>
  <c r="J27" i="1"/>
  <c r="J46" i="1" s="1"/>
  <c r="J48" i="1" s="1"/>
  <c r="K27" i="1" l="1"/>
  <c r="K46" i="1" s="1"/>
  <c r="K48" i="1" s="1"/>
  <c r="K33" i="1"/>
  <c r="L30" i="1" s="1"/>
  <c r="L12" i="1"/>
  <c r="L13" i="1" s="1"/>
  <c r="L51" i="1" s="1"/>
  <c r="L52" i="1" s="1"/>
  <c r="L28" i="1"/>
  <c r="L31" i="1" s="1"/>
  <c r="M10" i="1"/>
  <c r="M9" i="1"/>
  <c r="L27" i="1"/>
  <c r="L46" i="1" s="1"/>
  <c r="L48" i="1" s="1"/>
  <c r="L33" i="1" l="1"/>
  <c r="M30" i="1" s="1"/>
  <c r="M12" i="1"/>
  <c r="M13" i="1" s="1"/>
  <c r="M51" i="1" s="1"/>
  <c r="M52" i="1" s="1"/>
  <c r="M28" i="1"/>
  <c r="M27" i="1" l="1"/>
  <c r="M46" i="1" s="1"/>
  <c r="M48" i="1" s="1"/>
  <c r="M31" i="1"/>
  <c r="M33" i="1"/>
</calcChain>
</file>

<file path=xl/sharedStrings.xml><?xml version="1.0" encoding="utf-8"?>
<sst xmlns="http://schemas.openxmlformats.org/spreadsheetml/2006/main" count="64" uniqueCount="46">
  <si>
    <t>october</t>
  </si>
  <si>
    <t>november</t>
  </si>
  <si>
    <t>december</t>
  </si>
  <si>
    <t>january</t>
  </si>
  <si>
    <t>CFS</t>
  </si>
  <si>
    <t>Accounts recievable</t>
  </si>
  <si>
    <t>Inventory</t>
  </si>
  <si>
    <t>Statement of retained earnings</t>
  </si>
  <si>
    <t>Rent</t>
  </si>
  <si>
    <t>Net sales</t>
  </si>
  <si>
    <t>Variable cost</t>
  </si>
  <si>
    <t>Fixed cost</t>
  </si>
  <si>
    <t>Net profit</t>
  </si>
  <si>
    <t>Price per meal</t>
  </si>
  <si>
    <t>Number of meals</t>
  </si>
  <si>
    <t>Var. cost per meal</t>
  </si>
  <si>
    <t>Credit sales</t>
  </si>
  <si>
    <t>february</t>
  </si>
  <si>
    <t>march</t>
  </si>
  <si>
    <t>april</t>
  </si>
  <si>
    <t>may</t>
  </si>
  <si>
    <t>Assets</t>
  </si>
  <si>
    <t>Liabilities &amp; equity</t>
  </si>
  <si>
    <t>Cash</t>
  </si>
  <si>
    <t>Shareholder's equity</t>
  </si>
  <si>
    <t>Retained earnings</t>
  </si>
  <si>
    <t>Balance sheets (closing balance)</t>
  </si>
  <si>
    <t>Total Assets</t>
  </si>
  <si>
    <t>Total L&amp;E</t>
  </si>
  <si>
    <t>june</t>
  </si>
  <si>
    <t>july</t>
  </si>
  <si>
    <t>august</t>
  </si>
  <si>
    <t>september</t>
  </si>
  <si>
    <t>Cost of sales</t>
  </si>
  <si>
    <t>Revenue (In flow)</t>
  </si>
  <si>
    <t>Opening bal</t>
  </si>
  <si>
    <t>- cash out flow</t>
  </si>
  <si>
    <t>Closing Balance</t>
  </si>
  <si>
    <t>Opening Balance</t>
  </si>
  <si>
    <t>inventory outflow</t>
  </si>
  <si>
    <t>Inventory increase</t>
  </si>
  <si>
    <t>Cash inflow</t>
  </si>
  <si>
    <t>Cash out flow</t>
  </si>
  <si>
    <t>AR increase (credit sales)</t>
  </si>
  <si>
    <t>AR decrease</t>
  </si>
  <si>
    <t>Details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</si>
</sst>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kr&quot;\ * #,##0.00_);_(&quot;kr&quot;\ * \(#,##0.00\);_(&quot;kr&quot;\ * &quot;-&quot;??_);_(@_)"/>
    <numFmt numFmtId="164" formatCode="_([$$-409]* #,##0.00_);_([$$-409]* \(#,##0.00\);_([$$-409]* &quot;-&quot;??_);_(@_)"/>
  </numFmts>
  <fonts count="7" x14ac:knownFonts="1">
    <font>
      <sz val="12"/>
      <color theme="1"/>
      <name val="Aptos Narrow"/>
      <family val="2"/>
      <scheme val="minor"/>
    </font>
    <font>
      <sz val="12"/>
      <color theme="1"/>
      <name val="Aptos Narrow"/>
      <family val="2"/>
      <scheme val="minor"/>
    </font>
    <font>
      <b/>
      <sz val="12"/>
      <color theme="1"/>
      <name val="Aptos Narrow"/>
      <scheme val="minor"/>
    </font>
    <font>
      <i/>
      <sz val="12"/>
      <color theme="1"/>
      <name val="Aptos Narrow"/>
      <scheme val="minor"/>
    </font>
    <font>
      <b/>
      <i/>
      <sz val="12"/>
      <color theme="1"/>
      <name val="Aptos Narrow"/>
      <scheme val="minor"/>
    </font>
    <font>
      <sz val="8"/>
      <name val="Aptos Narrow"/>
      <family val="2"/>
      <scheme val="minor"/>
    </font>
    <font>
      <sz val="12"/>
      <color theme="1"/>
      <name val="Aptos Narrow"/>
      <scheme val="minor"/>
    </font>
  </fonts>
  <fills count="7">
    <fill>
      <patternFill patternType="none"/>
    </fill>
    <fill>
      <patternFill patternType="gray125"/>
    </fill>
    <fill>
      <patternFill patternType="solid">
        <fgColor theme="0" tint="-0.249977111117893"/>
        <bgColor indexed="64"/>
      </patternFill>
    </fill>
    <fill>
      <patternFill patternType="solid">
        <fgColor theme="9"/>
        <bgColor indexed="64"/>
      </patternFill>
    </fill>
    <fill>
      <patternFill patternType="solid">
        <fgColor theme="5"/>
        <bgColor indexed="64"/>
      </patternFill>
    </fill>
    <fill>
      <patternFill patternType="solid">
        <fgColor theme="0" tint="-0.34998626667073579"/>
        <bgColor indexed="64"/>
      </patternFill>
    </fill>
    <fill>
      <patternFill patternType="solid">
        <fgColor theme="0" tint="-0.499984740745262"/>
        <bgColor indexed="64"/>
      </patternFill>
    </fill>
  </fills>
  <borders count="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22">
    <xf numFmtId="0" fontId="0" fillId="0" borderId="0" xfId="0"/>
    <xf numFmtId="164" fontId="0" fillId="0" borderId="0" xfId="0" applyNumberFormat="1"/>
    <xf numFmtId="0" fontId="2" fillId="2" borderId="0" xfId="0" applyFont="1" applyFill="1"/>
    <xf numFmtId="0" fontId="6" fillId="0" borderId="0" xfId="0" applyFont="1"/>
    <xf numFmtId="0" fontId="6" fillId="2" borderId="0" xfId="0" applyFont="1" applyFill="1"/>
    <xf numFmtId="0" fontId="4" fillId="2" borderId="0" xfId="0" applyFont="1" applyFill="1"/>
    <xf numFmtId="0" fontId="3" fillId="2" borderId="0" xfId="0" applyFont="1" applyFill="1"/>
    <xf numFmtId="164" fontId="0" fillId="3" borderId="0" xfId="0" applyNumberFormat="1" applyFill="1"/>
    <xf numFmtId="164" fontId="6" fillId="0" borderId="0" xfId="0" applyNumberFormat="1" applyFont="1"/>
    <xf numFmtId="2" fontId="6" fillId="0" borderId="0" xfId="0" applyNumberFormat="1" applyFont="1"/>
    <xf numFmtId="164" fontId="6" fillId="4" borderId="0" xfId="0" applyNumberFormat="1" applyFont="1" applyFill="1"/>
    <xf numFmtId="164" fontId="6" fillId="3" borderId="0" xfId="0" applyNumberFormat="1" applyFont="1" applyFill="1"/>
    <xf numFmtId="164" fontId="6" fillId="0" borderId="0" xfId="1" applyNumberFormat="1" applyFont="1"/>
    <xf numFmtId="0" fontId="6" fillId="0" borderId="1" xfId="0" applyFont="1" applyBorder="1"/>
    <xf numFmtId="0" fontId="6" fillId="0" borderId="2" xfId="0" applyFont="1" applyBorder="1"/>
    <xf numFmtId="0" fontId="6" fillId="0" borderId="3" xfId="0" applyFont="1" applyBorder="1"/>
    <xf numFmtId="0" fontId="6" fillId="0" borderId="4" xfId="0" applyFont="1" applyBorder="1"/>
    <xf numFmtId="0" fontId="6" fillId="4" borderId="0" xfId="0" applyFont="1" applyFill="1"/>
    <xf numFmtId="0" fontId="6" fillId="3" borderId="0" xfId="0" applyFont="1" applyFill="1"/>
    <xf numFmtId="0" fontId="3" fillId="5" borderId="0" xfId="0" applyFont="1" applyFill="1"/>
    <xf numFmtId="0" fontId="6" fillId="5" borderId="0" xfId="0" applyFont="1" applyFill="1"/>
    <xf numFmtId="0" fontId="6" fillId="6" borderId="0" xfId="0" applyFont="1" applyFill="1"/>
  </cellXfs>
  <cellStyles count="2">
    <cellStyle name="Normal" xfId="0" builtinId="0"/>
    <cellStyle name="Valuta"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56445</xdr:colOff>
      <xdr:row>56</xdr:row>
      <xdr:rowOff>56443</xdr:rowOff>
    </xdr:from>
    <xdr:to>
      <xdr:col>8</xdr:col>
      <xdr:colOff>564445</xdr:colOff>
      <xdr:row>74</xdr:row>
      <xdr:rowOff>94775</xdr:rowOff>
    </xdr:to>
    <xdr:sp macro="" textlink="">
      <xdr:nvSpPr>
        <xdr:cNvPr id="2" name="TekstSylinder 1">
          <a:extLst>
            <a:ext uri="{FF2B5EF4-FFF2-40B4-BE49-F238E27FC236}">
              <a16:creationId xmlns:a16="http://schemas.microsoft.com/office/drawing/2014/main" id="{B4AF2DB9-80E6-FFEB-E58B-6B2DC7C78998}"/>
            </a:ext>
          </a:extLst>
        </xdr:cNvPr>
        <xdr:cNvSpPr txBox="1"/>
      </xdr:nvSpPr>
      <xdr:spPr>
        <a:xfrm>
          <a:off x="56445" y="9249727"/>
          <a:ext cx="8744045" cy="3620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b-NO" sz="1200"/>
            <a:t>Questions: </a:t>
          </a:r>
        </a:p>
        <a:p>
          <a:endParaRPr lang="nb-NO" sz="1200"/>
        </a:p>
        <a:p>
          <a:r>
            <a:rPr lang="nb-NO" sz="1200"/>
            <a:t>2)</a:t>
          </a:r>
          <a:r>
            <a:rPr lang="nb-NO" sz="1200" baseline="0"/>
            <a:t> As seen above, while the net income and retained earnings are steadily increasing, the cash assets are rapidly depleting. This is because the cash outflow is increasing at a faster rate than the cash inflow. This is mainly due to the long duration between the effectuation of the sale and the cash payment of the customer, which is 2 months. This means that when Gotham Meals on Wheels are ramping up production with increased variable cost, the cash payments are not recieved by GMoW in due time such that the cash balance can be positive. In essence, the credit time for customers (days' recievable for the company)  has to be decreased for GMoW to make cash profit in it's first year. </a:t>
          </a:r>
        </a:p>
        <a:p>
          <a:endParaRPr lang="nb-NO" sz="1200" baseline="0"/>
        </a:p>
        <a:p>
          <a:r>
            <a:rPr lang="nb-NO" sz="1200" baseline="0"/>
            <a:t>That said, the development seems to change in september, when the cash inflow surmounts the cash outflow. This means that with time the company will make cash profit, but only after sustained substantial (over 10 000 USD) cash losses in the first period. This is contingent upon the assumption that the development will be steady at the same pace as earlier, which is not necessarily realistic. </a:t>
          </a:r>
        </a:p>
        <a:p>
          <a:endParaRPr lang="nb-NO" sz="1200" baseline="0"/>
        </a:p>
        <a:p>
          <a:r>
            <a:rPr lang="nb-NO" sz="1200" baseline="0"/>
            <a:t>3) The motive of letting his customers take time to pay for the meals is admirable and sounds reasonable. Therefore one month of days recievable is "stricly necessary". That said, the one month of administrative delay in billing is mitigable and very possible to decrease by for example hiring a efficient billing clerk. This would possibly increase the fixed cost, because of his/her salary, but this would be marginal compared to the cash problems that the company is facing. </a:t>
          </a:r>
        </a:p>
        <a:p>
          <a:endParaRPr lang="nb-NO" sz="1200" baseline="0"/>
        </a:p>
        <a:p>
          <a:r>
            <a:rPr lang="nb-NO" sz="1200" baseline="0"/>
            <a:t>Apart from this, the profit margins (not in cash terms) seem healthy and, all other things held equal, the company could expect steady growth.</a:t>
          </a:r>
        </a:p>
        <a:p>
          <a:endParaRPr lang="nb-NO" sz="1100"/>
        </a:p>
      </xdr:txBody>
    </xdr:sp>
    <xdr:clientData/>
  </xdr:twoCellAnchor>
  <xdr:twoCellAnchor>
    <xdr:from>
      <xdr:col>0</xdr:col>
      <xdr:colOff>417016</xdr:colOff>
      <xdr:row>0</xdr:row>
      <xdr:rowOff>151642</xdr:rowOff>
    </xdr:from>
    <xdr:to>
      <xdr:col>1</xdr:col>
      <xdr:colOff>341195</xdr:colOff>
      <xdr:row>4</xdr:row>
      <xdr:rowOff>37911</xdr:rowOff>
    </xdr:to>
    <xdr:sp macro="" textlink="">
      <xdr:nvSpPr>
        <xdr:cNvPr id="3" name="TekstSylinder 2">
          <a:extLst>
            <a:ext uri="{FF2B5EF4-FFF2-40B4-BE49-F238E27FC236}">
              <a16:creationId xmlns:a16="http://schemas.microsoft.com/office/drawing/2014/main" id="{DFAED1C6-276A-D8A7-9EA2-D783D5F1B3CA}"/>
            </a:ext>
          </a:extLst>
        </xdr:cNvPr>
        <xdr:cNvSpPr txBox="1"/>
      </xdr:nvSpPr>
      <xdr:spPr>
        <a:xfrm>
          <a:off x="417016" y="151642"/>
          <a:ext cx="2056642" cy="6823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b-NO" sz="1200"/>
            <a:t>Students: </a:t>
          </a:r>
        </a:p>
        <a:p>
          <a:r>
            <a:rPr lang="nb-NO" sz="1200"/>
            <a:t>Lokesh Parihar - BE22B008</a:t>
          </a:r>
        </a:p>
        <a:p>
          <a:r>
            <a:rPr lang="nb-NO" sz="1200"/>
            <a:t>Benjamin Svarød - GE24Z016</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A783D-AEF5-4648-9275-D06A94395E64}">
  <dimension ref="A6:M55"/>
  <sheetViews>
    <sheetView tabSelected="1" zoomScale="134" workbookViewId="0">
      <selection activeCell="D3" sqref="D3"/>
    </sheetView>
  </sheetViews>
  <sheetFormatPr baseColWidth="10" defaultRowHeight="16" x14ac:dyDescent="0.2"/>
  <cols>
    <col min="1" max="1" width="28" customWidth="1"/>
    <col min="2" max="2" width="12.1640625" bestFit="1" customWidth="1"/>
    <col min="3" max="8" width="11.33203125" bestFit="1" customWidth="1"/>
    <col min="9" max="10" width="12" bestFit="1" customWidth="1"/>
    <col min="11" max="11" width="16" customWidth="1"/>
    <col min="12" max="13" width="12.83203125" bestFit="1" customWidth="1"/>
  </cols>
  <sheetData>
    <row r="6" spans="1:13" x14ac:dyDescent="0.2">
      <c r="A6" s="3"/>
      <c r="B6" s="4" t="s">
        <v>0</v>
      </c>
      <c r="C6" s="4" t="s">
        <v>1</v>
      </c>
      <c r="D6" s="4" t="s">
        <v>2</v>
      </c>
      <c r="E6" s="4" t="s">
        <v>3</v>
      </c>
      <c r="F6" s="4" t="s">
        <v>17</v>
      </c>
      <c r="G6" s="4" t="s">
        <v>18</v>
      </c>
      <c r="H6" s="4" t="s">
        <v>19</v>
      </c>
      <c r="I6" s="4" t="s">
        <v>20</v>
      </c>
      <c r="J6" s="4" t="s">
        <v>29</v>
      </c>
      <c r="K6" s="4" t="s">
        <v>30</v>
      </c>
      <c r="L6" s="4" t="s">
        <v>31</v>
      </c>
      <c r="M6" s="4" t="s">
        <v>32</v>
      </c>
    </row>
    <row r="7" spans="1:13" x14ac:dyDescent="0.2">
      <c r="A7" s="6" t="s">
        <v>14</v>
      </c>
      <c r="B7" s="8"/>
      <c r="C7" s="9">
        <v>325</v>
      </c>
      <c r="D7" s="9">
        <v>450</v>
      </c>
      <c r="E7" s="9">
        <v>500</v>
      </c>
      <c r="F7" s="9">
        <f>E7+250</f>
        <v>750</v>
      </c>
      <c r="G7" s="9">
        <f t="shared" ref="G7:M7" si="0">F7+250</f>
        <v>1000</v>
      </c>
      <c r="H7" s="9">
        <f t="shared" si="0"/>
        <v>1250</v>
      </c>
      <c r="I7" s="9">
        <f t="shared" si="0"/>
        <v>1500</v>
      </c>
      <c r="J7" s="9">
        <f t="shared" si="0"/>
        <v>1750</v>
      </c>
      <c r="K7" s="9">
        <f t="shared" si="0"/>
        <v>2000</v>
      </c>
      <c r="L7" s="9">
        <f t="shared" si="0"/>
        <v>2250</v>
      </c>
      <c r="M7" s="9">
        <f t="shared" si="0"/>
        <v>2500</v>
      </c>
    </row>
    <row r="8" spans="1:13" x14ac:dyDescent="0.2">
      <c r="A8" s="2" t="s">
        <v>7</v>
      </c>
      <c r="B8" s="3"/>
      <c r="C8" s="3"/>
      <c r="D8" s="3"/>
      <c r="E8" s="3"/>
      <c r="F8" s="3"/>
      <c r="G8" s="3"/>
      <c r="H8" s="3"/>
      <c r="I8" s="3"/>
      <c r="J8" s="3"/>
      <c r="K8" s="3"/>
      <c r="L8" s="3"/>
      <c r="M8" s="3"/>
    </row>
    <row r="9" spans="1:13" x14ac:dyDescent="0.2">
      <c r="A9" s="4" t="s">
        <v>9</v>
      </c>
      <c r="B9" s="8"/>
      <c r="C9" s="8">
        <f>C7*B54</f>
        <v>3575</v>
      </c>
      <c r="D9" s="8">
        <f>D7*B54</f>
        <v>4950</v>
      </c>
      <c r="E9" s="8">
        <f>E7*B54</f>
        <v>5500</v>
      </c>
      <c r="F9" s="8">
        <f>$B$54*F7</f>
        <v>8250</v>
      </c>
      <c r="G9" s="8">
        <f>$B$54*G7</f>
        <v>11000</v>
      </c>
      <c r="H9" s="8">
        <f>$B$54*H7</f>
        <v>13750</v>
      </c>
      <c r="I9" s="8">
        <f>$B$54*I7</f>
        <v>16500</v>
      </c>
      <c r="J9" s="8">
        <f>$B$54*J7</f>
        <v>19250</v>
      </c>
      <c r="K9" s="8">
        <f>$B$54*K7</f>
        <v>22000</v>
      </c>
      <c r="L9" s="8">
        <f>$B$54*L7</f>
        <v>24750</v>
      </c>
      <c r="M9" s="8">
        <f>$B$54*M7</f>
        <v>27500</v>
      </c>
    </row>
    <row r="10" spans="1:13" x14ac:dyDescent="0.2">
      <c r="A10" s="4" t="s">
        <v>10</v>
      </c>
      <c r="B10" s="8"/>
      <c r="C10" s="8">
        <f>-C7*B55</f>
        <v>-2275</v>
      </c>
      <c r="D10" s="8">
        <f>-B55*D7</f>
        <v>-3150</v>
      </c>
      <c r="E10" s="8">
        <f>-B55*E7</f>
        <v>-3500</v>
      </c>
      <c r="F10" s="8">
        <f>-$B$55*F7</f>
        <v>-5250</v>
      </c>
      <c r="G10" s="8">
        <f>-$B$55*G7</f>
        <v>-7000</v>
      </c>
      <c r="H10" s="8">
        <f>-$B$55*H7</f>
        <v>-8750</v>
      </c>
      <c r="I10" s="8">
        <f>-$B$55*I7</f>
        <v>-10500</v>
      </c>
      <c r="J10" s="8">
        <f>-$B$55*J7</f>
        <v>-12250</v>
      </c>
      <c r="K10" s="8">
        <f>-$B$55*K7</f>
        <v>-14000</v>
      </c>
      <c r="L10" s="8">
        <f>-$B$55*L7</f>
        <v>-15750</v>
      </c>
      <c r="M10" s="8">
        <f>-$B$55*M7</f>
        <v>-17500</v>
      </c>
    </row>
    <row r="11" spans="1:13" x14ac:dyDescent="0.2">
      <c r="A11" s="4" t="s">
        <v>11</v>
      </c>
      <c r="B11" s="8">
        <v>-300</v>
      </c>
      <c r="C11" s="8">
        <f>-1400</f>
        <v>-1400</v>
      </c>
      <c r="D11" s="8">
        <v>-1400</v>
      </c>
      <c r="E11" s="8">
        <f>-1600</f>
        <v>-1600</v>
      </c>
      <c r="F11" s="8">
        <v>-2000</v>
      </c>
      <c r="G11" s="8">
        <v>-2000</v>
      </c>
      <c r="H11" s="8">
        <v>-2000</v>
      </c>
      <c r="I11" s="8">
        <v>-2000</v>
      </c>
      <c r="J11" s="8">
        <v>-2000</v>
      </c>
      <c r="K11" s="8">
        <v>-2000</v>
      </c>
      <c r="L11" s="8">
        <v>-2000</v>
      </c>
      <c r="M11" s="8">
        <v>-2000</v>
      </c>
    </row>
    <row r="12" spans="1:13" x14ac:dyDescent="0.2">
      <c r="A12" s="4" t="s">
        <v>12</v>
      </c>
      <c r="B12" s="10">
        <f>SUM(B9:B11)</f>
        <v>-300</v>
      </c>
      <c r="C12" s="10">
        <f>SUM(C9:C11)</f>
        <v>-100</v>
      </c>
      <c r="D12" s="11">
        <f>SUM(D9:D11)</f>
        <v>400</v>
      </c>
      <c r="E12" s="11">
        <f>SUM(E9:E11)</f>
        <v>400</v>
      </c>
      <c r="F12" s="11">
        <f>SUM(F9:F11)</f>
        <v>1000</v>
      </c>
      <c r="G12" s="11">
        <f t="shared" ref="G12:I12" si="1">SUM(G9:G11)</f>
        <v>2000</v>
      </c>
      <c r="H12" s="11">
        <f t="shared" si="1"/>
        <v>3000</v>
      </c>
      <c r="I12" s="11">
        <f t="shared" si="1"/>
        <v>4000</v>
      </c>
      <c r="J12" s="11">
        <f>SUM(J9:J11)</f>
        <v>5000</v>
      </c>
      <c r="K12" s="11">
        <f>SUM(K9:K11)</f>
        <v>6000</v>
      </c>
      <c r="L12" s="11">
        <f>SUM(L9:L11)</f>
        <v>7000</v>
      </c>
      <c r="M12" s="11">
        <f>SUM(M9:M11)</f>
        <v>8000</v>
      </c>
    </row>
    <row r="13" spans="1:13" x14ac:dyDescent="0.2">
      <c r="A13" s="4" t="s">
        <v>25</v>
      </c>
      <c r="B13" s="8">
        <f>SUM(B12)</f>
        <v>-300</v>
      </c>
      <c r="C13" s="8">
        <f>SUM(B12:C12)</f>
        <v>-400</v>
      </c>
      <c r="D13" s="8">
        <f>SUM(B12:D12)</f>
        <v>0</v>
      </c>
      <c r="E13" s="8">
        <f>SUM(B12:E12)</f>
        <v>400</v>
      </c>
      <c r="F13" s="8">
        <f>SUM($B$12:F12)</f>
        <v>1400</v>
      </c>
      <c r="G13" s="8">
        <f>SUM($B$12:G12)</f>
        <v>3400</v>
      </c>
      <c r="H13" s="8">
        <f>SUM($B$12:H12)</f>
        <v>6400</v>
      </c>
      <c r="I13" s="8">
        <f>SUM($B$12:I12)</f>
        <v>10400</v>
      </c>
      <c r="J13" s="8">
        <f>SUM($B$12:J12)</f>
        <v>15400</v>
      </c>
      <c r="K13" s="8">
        <f>SUM($B$12:K12)</f>
        <v>21400</v>
      </c>
      <c r="L13" s="8">
        <f>SUM($B$12:L12)</f>
        <v>28400</v>
      </c>
      <c r="M13" s="8">
        <f>SUM($B$12:M12)</f>
        <v>36400</v>
      </c>
    </row>
    <row r="14" spans="1:13" x14ac:dyDescent="0.2">
      <c r="A14" s="3"/>
      <c r="B14" s="3"/>
      <c r="C14" s="3"/>
      <c r="D14" s="3"/>
      <c r="E14" s="3"/>
      <c r="F14" s="3"/>
      <c r="G14" s="3"/>
      <c r="H14" s="3"/>
      <c r="I14" s="3"/>
      <c r="J14" s="3"/>
      <c r="K14" s="3"/>
      <c r="L14" s="3"/>
      <c r="M14" s="3"/>
    </row>
    <row r="15" spans="1:13" x14ac:dyDescent="0.2">
      <c r="A15" s="3"/>
      <c r="B15" s="3"/>
      <c r="C15" s="3"/>
      <c r="D15" s="3"/>
      <c r="E15" s="3"/>
      <c r="F15" s="3"/>
      <c r="G15" s="3"/>
      <c r="H15" s="3"/>
      <c r="I15" s="3"/>
      <c r="J15" s="3"/>
      <c r="K15" s="3"/>
      <c r="L15" s="3"/>
      <c r="M15" s="3"/>
    </row>
    <row r="16" spans="1:13" x14ac:dyDescent="0.2">
      <c r="A16" s="2" t="s">
        <v>4</v>
      </c>
      <c r="B16" s="3"/>
      <c r="C16" s="3"/>
      <c r="D16" s="3"/>
      <c r="E16" s="3"/>
      <c r="F16" s="3"/>
      <c r="G16" s="3"/>
      <c r="H16" s="3"/>
      <c r="I16" s="3"/>
      <c r="J16" s="3"/>
      <c r="K16" s="3"/>
      <c r="L16" s="3"/>
      <c r="M16" s="3"/>
    </row>
    <row r="17" spans="1:13" x14ac:dyDescent="0.2">
      <c r="A17" s="3" t="s">
        <v>33</v>
      </c>
      <c r="B17" s="3">
        <v>2275</v>
      </c>
      <c r="C17" s="3">
        <v>3150</v>
      </c>
      <c r="D17" s="3">
        <v>3500</v>
      </c>
      <c r="E17" s="3">
        <v>5250</v>
      </c>
      <c r="F17" s="3">
        <v>7000</v>
      </c>
      <c r="G17" s="3">
        <v>8750</v>
      </c>
      <c r="H17" s="3">
        <v>10500</v>
      </c>
      <c r="I17" s="3">
        <v>12250</v>
      </c>
      <c r="J17" s="3">
        <v>14000</v>
      </c>
      <c r="K17" s="3">
        <v>15750</v>
      </c>
      <c r="L17" s="3">
        <v>17500</v>
      </c>
      <c r="M17" s="3">
        <v>19250</v>
      </c>
    </row>
    <row r="18" spans="1:13" x14ac:dyDescent="0.2">
      <c r="A18" s="3" t="s">
        <v>8</v>
      </c>
      <c r="B18" s="3">
        <v>300</v>
      </c>
      <c r="C18" s="3">
        <v>1400</v>
      </c>
      <c r="D18" s="3">
        <v>1400</v>
      </c>
      <c r="E18" s="3">
        <v>1600</v>
      </c>
      <c r="F18" s="3">
        <v>2000</v>
      </c>
      <c r="G18" s="3">
        <v>2000</v>
      </c>
      <c r="H18" s="3">
        <v>2000</v>
      </c>
      <c r="I18" s="3">
        <v>2000</v>
      </c>
      <c r="J18" s="3">
        <v>2000</v>
      </c>
      <c r="K18" s="3">
        <v>2000</v>
      </c>
      <c r="L18" s="3">
        <v>2000</v>
      </c>
      <c r="M18" s="3">
        <v>2000</v>
      </c>
    </row>
    <row r="19" spans="1:13" x14ac:dyDescent="0.2">
      <c r="A19" s="3" t="s">
        <v>42</v>
      </c>
      <c r="B19" s="3">
        <v>2575</v>
      </c>
      <c r="C19" s="3">
        <v>4550</v>
      </c>
      <c r="D19" s="3">
        <v>4900</v>
      </c>
      <c r="E19" s="3">
        <v>6850</v>
      </c>
      <c r="F19" s="3">
        <v>9000</v>
      </c>
      <c r="G19" s="3">
        <v>10750</v>
      </c>
      <c r="H19" s="3">
        <v>12500</v>
      </c>
      <c r="I19" s="3">
        <v>14250</v>
      </c>
      <c r="J19" s="3">
        <v>16000</v>
      </c>
      <c r="K19" s="3">
        <v>17750</v>
      </c>
      <c r="L19" s="3">
        <v>19500</v>
      </c>
      <c r="M19" s="3">
        <v>21250</v>
      </c>
    </row>
    <row r="20" spans="1:13" x14ac:dyDescent="0.2">
      <c r="A20" s="3" t="s">
        <v>34</v>
      </c>
      <c r="B20" s="3">
        <v>0</v>
      </c>
      <c r="C20" s="3">
        <v>0</v>
      </c>
      <c r="D20" s="3">
        <v>0</v>
      </c>
      <c r="E20" s="3">
        <v>3575</v>
      </c>
      <c r="F20" s="3">
        <v>4950</v>
      </c>
      <c r="G20" s="3">
        <v>5500</v>
      </c>
      <c r="H20" s="3">
        <v>8250</v>
      </c>
      <c r="I20" s="3">
        <v>11000</v>
      </c>
      <c r="J20" s="3">
        <v>13750</v>
      </c>
      <c r="K20" s="3">
        <v>16500</v>
      </c>
      <c r="L20" s="3">
        <v>19250</v>
      </c>
      <c r="M20" s="3">
        <v>22000</v>
      </c>
    </row>
    <row r="21" spans="1:13" x14ac:dyDescent="0.2">
      <c r="A21" s="3" t="s">
        <v>35</v>
      </c>
      <c r="B21" s="3">
        <v>25000</v>
      </c>
      <c r="C21" s="3">
        <v>22425</v>
      </c>
      <c r="D21" s="3">
        <v>17875</v>
      </c>
      <c r="E21" s="3">
        <v>12975</v>
      </c>
      <c r="F21" s="3">
        <v>9700</v>
      </c>
      <c r="G21" s="3">
        <v>5650</v>
      </c>
      <c r="H21" s="3">
        <v>400</v>
      </c>
      <c r="I21" s="3">
        <v>-3850</v>
      </c>
      <c r="J21" s="3">
        <v>-7100</v>
      </c>
      <c r="K21" s="3">
        <v>-9350</v>
      </c>
      <c r="L21" s="3">
        <v>-10600</v>
      </c>
      <c r="M21" s="3">
        <v>-10850</v>
      </c>
    </row>
    <row r="22" spans="1:13" x14ac:dyDescent="0.2">
      <c r="A22" s="3" t="s">
        <v>36</v>
      </c>
      <c r="B22" s="3">
        <v>-2575</v>
      </c>
      <c r="C22" s="3">
        <v>-4550</v>
      </c>
      <c r="D22" s="3">
        <v>-4900</v>
      </c>
      <c r="E22" s="3">
        <v>-6850</v>
      </c>
      <c r="F22" s="3">
        <v>-9000</v>
      </c>
      <c r="G22" s="3">
        <v>-10750</v>
      </c>
      <c r="H22" s="3">
        <v>-12500</v>
      </c>
      <c r="I22" s="3">
        <v>-14250</v>
      </c>
      <c r="J22" s="3">
        <v>-16000</v>
      </c>
      <c r="K22" s="3">
        <v>-17750</v>
      </c>
      <c r="L22" s="3">
        <v>-19500</v>
      </c>
      <c r="M22" s="3">
        <v>-21250</v>
      </c>
    </row>
    <row r="23" spans="1:13" x14ac:dyDescent="0.2">
      <c r="A23" s="3" t="s">
        <v>41</v>
      </c>
      <c r="B23" s="3">
        <v>0</v>
      </c>
      <c r="C23" s="3"/>
      <c r="D23" s="3">
        <v>0</v>
      </c>
      <c r="E23" s="3">
        <v>3575</v>
      </c>
      <c r="F23" s="3">
        <v>4950</v>
      </c>
      <c r="G23" s="3">
        <v>5500</v>
      </c>
      <c r="H23" s="3">
        <v>8250</v>
      </c>
      <c r="I23" s="3">
        <v>11000</v>
      </c>
      <c r="J23" s="3">
        <v>13750</v>
      </c>
      <c r="K23" s="3">
        <v>16500</v>
      </c>
      <c r="L23" s="3">
        <v>19250</v>
      </c>
      <c r="M23" s="3">
        <v>22000</v>
      </c>
    </row>
    <row r="24" spans="1:13" x14ac:dyDescent="0.2">
      <c r="A24" s="3" t="s">
        <v>37</v>
      </c>
      <c r="B24" s="18">
        <v>22425</v>
      </c>
      <c r="C24" s="18">
        <v>17875</v>
      </c>
      <c r="D24" s="18">
        <v>12975</v>
      </c>
      <c r="E24" s="18">
        <v>9700</v>
      </c>
      <c r="F24" s="18">
        <v>5650</v>
      </c>
      <c r="G24" s="18">
        <v>400</v>
      </c>
      <c r="H24" s="17">
        <v>-3850</v>
      </c>
      <c r="I24" s="17">
        <v>-7100</v>
      </c>
      <c r="J24" s="17">
        <v>-9350</v>
      </c>
      <c r="K24" s="17">
        <v>-10600</v>
      </c>
      <c r="L24" s="17">
        <v>-10850</v>
      </c>
      <c r="M24" s="17">
        <v>-10100</v>
      </c>
    </row>
    <row r="25" spans="1:13" x14ac:dyDescent="0.2">
      <c r="A25" s="3"/>
      <c r="B25" s="3"/>
      <c r="C25" s="3"/>
      <c r="D25" s="3"/>
      <c r="E25" s="3"/>
      <c r="F25" s="3"/>
      <c r="G25" s="3"/>
      <c r="H25" s="3"/>
      <c r="I25" s="3"/>
      <c r="J25" s="3"/>
      <c r="K25" s="3"/>
      <c r="L25" s="3"/>
      <c r="M25" s="3"/>
    </row>
    <row r="26" spans="1:13" x14ac:dyDescent="0.2">
      <c r="A26" s="3"/>
      <c r="B26" s="3"/>
      <c r="C26" s="3"/>
      <c r="D26" s="3"/>
      <c r="E26" s="3"/>
      <c r="F26" s="3"/>
      <c r="G26" s="3"/>
      <c r="H26" s="3"/>
      <c r="I26" s="3"/>
      <c r="J26" s="3"/>
      <c r="K26" s="3"/>
      <c r="L26" s="3"/>
      <c r="M26" s="3"/>
    </row>
    <row r="27" spans="1:13" x14ac:dyDescent="0.2">
      <c r="A27" s="2" t="s">
        <v>5</v>
      </c>
      <c r="B27" s="8">
        <f>B28</f>
        <v>0</v>
      </c>
      <c r="C27" s="8">
        <f>SUM(C28)</f>
        <v>3575</v>
      </c>
      <c r="D27" s="8">
        <f t="shared" ref="D27:M27" si="2">SUM(C28:D28)</f>
        <v>8525</v>
      </c>
      <c r="E27" s="8">
        <f t="shared" si="2"/>
        <v>10450</v>
      </c>
      <c r="F27" s="8">
        <f t="shared" si="2"/>
        <v>13750</v>
      </c>
      <c r="G27" s="8">
        <f t="shared" si="2"/>
        <v>19250</v>
      </c>
      <c r="H27" s="8">
        <f t="shared" si="2"/>
        <v>24750</v>
      </c>
      <c r="I27" s="8">
        <f t="shared" si="2"/>
        <v>30250</v>
      </c>
      <c r="J27" s="8">
        <f t="shared" si="2"/>
        <v>35750</v>
      </c>
      <c r="K27" s="8">
        <f t="shared" si="2"/>
        <v>41250</v>
      </c>
      <c r="L27" s="8">
        <f t="shared" si="2"/>
        <v>46750</v>
      </c>
      <c r="M27" s="8">
        <f t="shared" si="2"/>
        <v>52250</v>
      </c>
    </row>
    <row r="28" spans="1:13" x14ac:dyDescent="0.2">
      <c r="A28" s="4" t="s">
        <v>16</v>
      </c>
      <c r="B28" s="8">
        <f t="shared" ref="B28:M28" si="3">B9</f>
        <v>0</v>
      </c>
      <c r="C28" s="8">
        <f t="shared" si="3"/>
        <v>3575</v>
      </c>
      <c r="D28" s="8">
        <f t="shared" si="3"/>
        <v>4950</v>
      </c>
      <c r="E28" s="8">
        <f t="shared" si="3"/>
        <v>5500</v>
      </c>
      <c r="F28" s="8">
        <f t="shared" si="3"/>
        <v>8250</v>
      </c>
      <c r="G28" s="8">
        <f t="shared" si="3"/>
        <v>11000</v>
      </c>
      <c r="H28" s="8">
        <f t="shared" si="3"/>
        <v>13750</v>
      </c>
      <c r="I28" s="8">
        <f t="shared" si="3"/>
        <v>16500</v>
      </c>
      <c r="J28" s="8">
        <f t="shared" si="3"/>
        <v>19250</v>
      </c>
      <c r="K28" s="8">
        <f t="shared" si="3"/>
        <v>22000</v>
      </c>
      <c r="L28" s="8">
        <f t="shared" si="3"/>
        <v>24750</v>
      </c>
      <c r="M28" s="8">
        <f t="shared" si="3"/>
        <v>27500</v>
      </c>
    </row>
    <row r="29" spans="1:13" x14ac:dyDescent="0.2">
      <c r="A29" s="19" t="s">
        <v>45</v>
      </c>
      <c r="B29" s="1"/>
      <c r="C29" s="1"/>
      <c r="D29" s="1"/>
      <c r="E29" s="1"/>
      <c r="F29" s="1"/>
      <c r="G29" s="1"/>
      <c r="H29" s="1"/>
      <c r="I29" s="1"/>
      <c r="J29" s="1"/>
      <c r="K29" s="1"/>
      <c r="L29" s="1"/>
      <c r="M29" s="1"/>
    </row>
    <row r="30" spans="1:13" x14ac:dyDescent="0.2">
      <c r="A30" s="20" t="s">
        <v>38</v>
      </c>
      <c r="B30" s="1">
        <f>B27</f>
        <v>0</v>
      </c>
      <c r="C30" s="1">
        <f>B33</f>
        <v>0</v>
      </c>
      <c r="D30" s="1">
        <f t="shared" ref="D30:M30" si="4">C33</f>
        <v>3575</v>
      </c>
      <c r="E30" s="1">
        <f t="shared" si="4"/>
        <v>8525</v>
      </c>
      <c r="F30" s="1">
        <f t="shared" si="4"/>
        <v>10450</v>
      </c>
      <c r="G30" s="1">
        <f t="shared" si="4"/>
        <v>13750</v>
      </c>
      <c r="H30" s="1">
        <f t="shared" si="4"/>
        <v>19250</v>
      </c>
      <c r="I30" s="1">
        <f t="shared" si="4"/>
        <v>24750</v>
      </c>
      <c r="J30" s="1">
        <f t="shared" si="4"/>
        <v>30250</v>
      </c>
      <c r="K30" s="1">
        <f t="shared" si="4"/>
        <v>35750</v>
      </c>
      <c r="L30" s="1">
        <f t="shared" si="4"/>
        <v>41250</v>
      </c>
      <c r="M30" s="1">
        <f t="shared" si="4"/>
        <v>46750</v>
      </c>
    </row>
    <row r="31" spans="1:13" x14ac:dyDescent="0.2">
      <c r="A31" s="20" t="s">
        <v>43</v>
      </c>
      <c r="B31" s="1">
        <f>B28</f>
        <v>0</v>
      </c>
      <c r="C31" s="1">
        <f t="shared" ref="C31:M31" si="5">C28</f>
        <v>3575</v>
      </c>
      <c r="D31" s="1">
        <f t="shared" si="5"/>
        <v>4950</v>
      </c>
      <c r="E31" s="1">
        <f t="shared" si="5"/>
        <v>5500</v>
      </c>
      <c r="F31" s="1">
        <f t="shared" si="5"/>
        <v>8250</v>
      </c>
      <c r="G31" s="1">
        <f t="shared" si="5"/>
        <v>11000</v>
      </c>
      <c r="H31" s="1">
        <f t="shared" si="5"/>
        <v>13750</v>
      </c>
      <c r="I31" s="1">
        <f t="shared" si="5"/>
        <v>16500</v>
      </c>
      <c r="J31" s="1">
        <f t="shared" si="5"/>
        <v>19250</v>
      </c>
      <c r="K31" s="1">
        <f t="shared" si="5"/>
        <v>22000</v>
      </c>
      <c r="L31" s="1">
        <f t="shared" si="5"/>
        <v>24750</v>
      </c>
      <c r="M31" s="1">
        <f t="shared" si="5"/>
        <v>27500</v>
      </c>
    </row>
    <row r="32" spans="1:13" x14ac:dyDescent="0.2">
      <c r="A32" s="20" t="s">
        <v>44</v>
      </c>
      <c r="B32" s="1">
        <v>0</v>
      </c>
      <c r="C32" s="1">
        <v>0</v>
      </c>
      <c r="D32" s="1">
        <v>0</v>
      </c>
      <c r="E32" s="1">
        <f>-C31</f>
        <v>-3575</v>
      </c>
      <c r="F32" s="1">
        <f t="shared" ref="F32:M32" si="6">-D31</f>
        <v>-4950</v>
      </c>
      <c r="G32" s="1">
        <f t="shared" si="6"/>
        <v>-5500</v>
      </c>
      <c r="H32" s="1">
        <f t="shared" si="6"/>
        <v>-8250</v>
      </c>
      <c r="I32" s="1">
        <f t="shared" si="6"/>
        <v>-11000</v>
      </c>
      <c r="J32" s="1">
        <f t="shared" si="6"/>
        <v>-13750</v>
      </c>
      <c r="K32" s="1">
        <f t="shared" si="6"/>
        <v>-16500</v>
      </c>
      <c r="L32" s="1">
        <f t="shared" si="6"/>
        <v>-19250</v>
      </c>
      <c r="M32" s="1">
        <f t="shared" si="6"/>
        <v>-22000</v>
      </c>
    </row>
    <row r="33" spans="1:13" x14ac:dyDescent="0.2">
      <c r="A33" s="21" t="s">
        <v>37</v>
      </c>
      <c r="B33" s="7">
        <f>SUM(B30:B32)</f>
        <v>0</v>
      </c>
      <c r="C33" s="7">
        <f t="shared" ref="C33:M33" si="7">SUM(C30:C32)</f>
        <v>3575</v>
      </c>
      <c r="D33" s="7">
        <f t="shared" si="7"/>
        <v>8525</v>
      </c>
      <c r="E33" s="7">
        <f t="shared" si="7"/>
        <v>10450</v>
      </c>
      <c r="F33" s="7">
        <f t="shared" si="7"/>
        <v>13750</v>
      </c>
      <c r="G33" s="7">
        <f t="shared" si="7"/>
        <v>19250</v>
      </c>
      <c r="H33" s="7">
        <f t="shared" si="7"/>
        <v>24750</v>
      </c>
      <c r="I33" s="7">
        <f t="shared" si="7"/>
        <v>30250</v>
      </c>
      <c r="J33" s="7">
        <f t="shared" si="7"/>
        <v>35750</v>
      </c>
      <c r="K33" s="7">
        <f t="shared" si="7"/>
        <v>41250</v>
      </c>
      <c r="L33" s="7">
        <f t="shared" si="7"/>
        <v>46750</v>
      </c>
      <c r="M33" s="7">
        <f t="shared" si="7"/>
        <v>52250</v>
      </c>
    </row>
    <row r="35" spans="1:13" x14ac:dyDescent="0.2">
      <c r="A35" s="2" t="s">
        <v>6</v>
      </c>
      <c r="B35" s="8"/>
      <c r="C35" s="8"/>
      <c r="D35" s="8"/>
      <c r="E35" s="8"/>
      <c r="F35" s="8"/>
      <c r="G35" s="8"/>
      <c r="H35" s="8"/>
      <c r="I35" s="8"/>
      <c r="J35" s="3"/>
      <c r="K35" s="3"/>
      <c r="L35" s="3"/>
      <c r="M35" s="3"/>
    </row>
    <row r="36" spans="1:13" x14ac:dyDescent="0.2">
      <c r="A36" s="6" t="s">
        <v>38</v>
      </c>
      <c r="B36" s="8">
        <v>0</v>
      </c>
      <c r="C36" s="8">
        <v>2275</v>
      </c>
      <c r="D36" s="8">
        <v>3150</v>
      </c>
      <c r="E36" s="8">
        <v>3500</v>
      </c>
      <c r="F36" s="8">
        <v>5250</v>
      </c>
      <c r="G36" s="8">
        <v>7000</v>
      </c>
      <c r="H36" s="8">
        <v>8750</v>
      </c>
      <c r="I36" s="8">
        <v>10500</v>
      </c>
      <c r="J36" s="8">
        <v>12250</v>
      </c>
      <c r="K36" s="8">
        <v>14000</v>
      </c>
      <c r="L36" s="8">
        <v>15750</v>
      </c>
      <c r="M36" s="8">
        <v>17500</v>
      </c>
    </row>
    <row r="37" spans="1:13" x14ac:dyDescent="0.2">
      <c r="A37" s="4" t="s">
        <v>40</v>
      </c>
      <c r="B37" s="8">
        <v>2275</v>
      </c>
      <c r="C37" s="8">
        <v>3150</v>
      </c>
      <c r="D37" s="8">
        <v>3500</v>
      </c>
      <c r="E37" s="8">
        <v>5250</v>
      </c>
      <c r="F37" s="8">
        <v>7000</v>
      </c>
      <c r="G37" s="8">
        <v>8750</v>
      </c>
      <c r="H37" s="8">
        <v>10500</v>
      </c>
      <c r="I37" s="8">
        <v>12250</v>
      </c>
      <c r="J37" s="8">
        <v>14000</v>
      </c>
      <c r="K37" s="8">
        <v>15750</v>
      </c>
      <c r="L37" s="8">
        <v>17500</v>
      </c>
      <c r="M37" s="8">
        <v>19250</v>
      </c>
    </row>
    <row r="38" spans="1:13" x14ac:dyDescent="0.2">
      <c r="A38" s="4" t="s">
        <v>39</v>
      </c>
      <c r="B38" s="8">
        <v>0</v>
      </c>
      <c r="C38" s="8">
        <v>-2275</v>
      </c>
      <c r="D38" s="8">
        <v>-3150</v>
      </c>
      <c r="E38" s="8">
        <v>-3500</v>
      </c>
      <c r="F38" s="8">
        <v>-5250</v>
      </c>
      <c r="G38" s="8">
        <v>-7000</v>
      </c>
      <c r="H38" s="8">
        <v>-8750</v>
      </c>
      <c r="I38" s="8">
        <v>-10500</v>
      </c>
      <c r="J38" s="8">
        <v>-12250</v>
      </c>
      <c r="K38" s="8">
        <v>-14000</v>
      </c>
      <c r="L38" s="8">
        <v>-15750</v>
      </c>
      <c r="M38" s="8">
        <v>-17500</v>
      </c>
    </row>
    <row r="39" spans="1:13" x14ac:dyDescent="0.2">
      <c r="A39" s="6" t="s">
        <v>37</v>
      </c>
      <c r="B39" s="8">
        <v>2275</v>
      </c>
      <c r="C39" s="8">
        <v>3150</v>
      </c>
      <c r="D39" s="8">
        <v>3500</v>
      </c>
      <c r="E39" s="8">
        <v>5250</v>
      </c>
      <c r="F39" s="8">
        <v>7000</v>
      </c>
      <c r="G39" s="8">
        <v>8750</v>
      </c>
      <c r="H39" s="8">
        <v>10500</v>
      </c>
      <c r="I39" s="8">
        <v>12250</v>
      </c>
      <c r="J39" s="8">
        <v>14000</v>
      </c>
      <c r="K39" s="8">
        <v>15750</v>
      </c>
      <c r="L39" s="8">
        <v>17500</v>
      </c>
      <c r="M39" s="8">
        <v>19250</v>
      </c>
    </row>
    <row r="40" spans="1:13" x14ac:dyDescent="0.2">
      <c r="A40" s="3"/>
      <c r="B40" s="3"/>
      <c r="C40" s="3"/>
      <c r="D40" s="3"/>
      <c r="E40" s="3"/>
      <c r="F40" s="3"/>
      <c r="G40" s="3"/>
      <c r="H40" s="3"/>
      <c r="I40" s="3"/>
      <c r="J40" s="3"/>
      <c r="K40" s="3"/>
      <c r="L40" s="3"/>
      <c r="M40" s="3"/>
    </row>
    <row r="41" spans="1:13" x14ac:dyDescent="0.2">
      <c r="A41" s="3"/>
      <c r="B41" s="3"/>
      <c r="C41" s="3"/>
      <c r="D41" s="3"/>
      <c r="E41" s="3"/>
      <c r="F41" s="3"/>
      <c r="G41" s="3"/>
      <c r="H41" s="3"/>
      <c r="I41" s="3"/>
      <c r="J41" s="3"/>
      <c r="K41" s="3"/>
      <c r="L41" s="3"/>
      <c r="M41" s="3"/>
    </row>
    <row r="42" spans="1:13" x14ac:dyDescent="0.2">
      <c r="A42" s="2" t="s">
        <v>26</v>
      </c>
      <c r="B42" s="4" t="s">
        <v>0</v>
      </c>
      <c r="C42" s="4" t="s">
        <v>1</v>
      </c>
      <c r="D42" s="4" t="s">
        <v>2</v>
      </c>
      <c r="E42" s="4" t="s">
        <v>3</v>
      </c>
      <c r="F42" s="4" t="s">
        <v>17</v>
      </c>
      <c r="G42" s="4" t="s">
        <v>18</v>
      </c>
      <c r="H42" s="4" t="s">
        <v>19</v>
      </c>
      <c r="I42" s="4" t="s">
        <v>20</v>
      </c>
      <c r="J42" s="4" t="s">
        <v>29</v>
      </c>
      <c r="K42" s="4" t="s">
        <v>30</v>
      </c>
      <c r="L42" s="4" t="s">
        <v>31</v>
      </c>
      <c r="M42" s="4" t="s">
        <v>32</v>
      </c>
    </row>
    <row r="43" spans="1:13" x14ac:dyDescent="0.2">
      <c r="A43" s="3"/>
      <c r="B43" s="8"/>
      <c r="C43" s="8"/>
      <c r="D43" s="8"/>
      <c r="E43" s="8"/>
      <c r="F43" s="8"/>
      <c r="G43" s="8"/>
      <c r="H43" s="8"/>
      <c r="I43" s="8"/>
      <c r="J43" s="3"/>
      <c r="K43" s="3"/>
      <c r="L43" s="3"/>
      <c r="M43" s="3"/>
    </row>
    <row r="44" spans="1:13" x14ac:dyDescent="0.2">
      <c r="A44" s="2" t="s">
        <v>21</v>
      </c>
      <c r="B44" s="3"/>
      <c r="C44" s="12"/>
      <c r="D44" s="12"/>
      <c r="E44" s="12"/>
      <c r="F44" s="12"/>
      <c r="G44" s="12"/>
      <c r="H44" s="12"/>
      <c r="I44" s="12"/>
      <c r="J44" s="3"/>
      <c r="K44" s="3"/>
      <c r="L44" s="3"/>
      <c r="M44" s="3"/>
    </row>
    <row r="45" spans="1:13" x14ac:dyDescent="0.2">
      <c r="A45" s="4" t="s">
        <v>23</v>
      </c>
      <c r="B45" s="12">
        <v>22425</v>
      </c>
      <c r="C45" s="12">
        <v>17875</v>
      </c>
      <c r="D45" s="12">
        <v>12975</v>
      </c>
      <c r="E45" s="12">
        <v>9700</v>
      </c>
      <c r="F45" s="12">
        <v>5650</v>
      </c>
      <c r="G45" s="12">
        <v>400</v>
      </c>
      <c r="H45" s="12">
        <v>-3850</v>
      </c>
      <c r="I45" s="12">
        <v>-7100</v>
      </c>
      <c r="J45" s="12">
        <v>-9350</v>
      </c>
      <c r="K45" s="12">
        <v>-10600</v>
      </c>
      <c r="L45" s="12">
        <v>-10850</v>
      </c>
      <c r="M45" s="12">
        <v>-10100</v>
      </c>
    </row>
    <row r="46" spans="1:13" x14ac:dyDescent="0.2">
      <c r="A46" s="4" t="s">
        <v>5</v>
      </c>
      <c r="B46" s="12">
        <f t="shared" ref="B46:M46" si="8">B27</f>
        <v>0</v>
      </c>
      <c r="C46" s="12">
        <f t="shared" si="8"/>
        <v>3575</v>
      </c>
      <c r="D46" s="12">
        <f t="shared" si="8"/>
        <v>8525</v>
      </c>
      <c r="E46" s="12">
        <f t="shared" si="8"/>
        <v>10450</v>
      </c>
      <c r="F46" s="12">
        <f t="shared" si="8"/>
        <v>13750</v>
      </c>
      <c r="G46" s="12">
        <f t="shared" si="8"/>
        <v>19250</v>
      </c>
      <c r="H46" s="12">
        <f t="shared" si="8"/>
        <v>24750</v>
      </c>
      <c r="I46" s="12">
        <f t="shared" si="8"/>
        <v>30250</v>
      </c>
      <c r="J46" s="12">
        <f t="shared" si="8"/>
        <v>35750</v>
      </c>
      <c r="K46" s="12">
        <f t="shared" si="8"/>
        <v>41250</v>
      </c>
      <c r="L46" s="12">
        <f t="shared" si="8"/>
        <v>46750</v>
      </c>
      <c r="M46" s="12">
        <f t="shared" si="8"/>
        <v>52250</v>
      </c>
    </row>
    <row r="47" spans="1:13" x14ac:dyDescent="0.2">
      <c r="A47" s="4" t="s">
        <v>6</v>
      </c>
      <c r="B47" s="12">
        <v>2275</v>
      </c>
      <c r="C47" s="12">
        <v>3150</v>
      </c>
      <c r="D47" s="12">
        <v>3500</v>
      </c>
      <c r="E47" s="12">
        <v>5250</v>
      </c>
      <c r="F47" s="12">
        <v>7000</v>
      </c>
      <c r="G47" s="12">
        <v>8750</v>
      </c>
      <c r="H47" s="12">
        <v>10500</v>
      </c>
      <c r="I47" s="12">
        <v>12250</v>
      </c>
      <c r="J47" s="12">
        <v>14000</v>
      </c>
      <c r="K47" s="12">
        <v>15750</v>
      </c>
      <c r="L47" s="12">
        <v>17500</v>
      </c>
      <c r="M47" s="12">
        <v>19250</v>
      </c>
    </row>
    <row r="48" spans="1:13" x14ac:dyDescent="0.2">
      <c r="A48" s="5" t="s">
        <v>27</v>
      </c>
      <c r="B48" s="12">
        <f>SUM(B45:B47)</f>
        <v>24700</v>
      </c>
      <c r="C48" s="12">
        <f>SUM(C45:C47)</f>
        <v>24600</v>
      </c>
      <c r="D48" s="12">
        <f t="shared" ref="D48:I48" si="9">SUM(D45:D47)</f>
        <v>25000</v>
      </c>
      <c r="E48" s="12">
        <f t="shared" si="9"/>
        <v>25400</v>
      </c>
      <c r="F48" s="12">
        <f t="shared" si="9"/>
        <v>26400</v>
      </c>
      <c r="G48" s="12">
        <f t="shared" si="9"/>
        <v>28400</v>
      </c>
      <c r="H48" s="12">
        <f t="shared" si="9"/>
        <v>31400</v>
      </c>
      <c r="I48" s="12">
        <f t="shared" si="9"/>
        <v>35400</v>
      </c>
      <c r="J48" s="12">
        <f t="shared" ref="J48" si="10">SUM(J45:J47)</f>
        <v>40400</v>
      </c>
      <c r="K48" s="12">
        <f t="shared" ref="K48" si="11">SUM(K45:K47)</f>
        <v>46400</v>
      </c>
      <c r="L48" s="12">
        <f t="shared" ref="L48" si="12">SUM(L45:L47)</f>
        <v>53400</v>
      </c>
      <c r="M48" s="12">
        <f t="shared" ref="M48" si="13">SUM(M45:M47)</f>
        <v>61400</v>
      </c>
    </row>
    <row r="49" spans="1:13" x14ac:dyDescent="0.2">
      <c r="A49" s="2" t="s">
        <v>22</v>
      </c>
      <c r="B49" s="12"/>
      <c r="C49" s="12"/>
      <c r="D49" s="12"/>
      <c r="E49" s="12"/>
      <c r="F49" s="12"/>
      <c r="G49" s="12"/>
      <c r="H49" s="12"/>
      <c r="I49" s="12"/>
      <c r="J49" s="3"/>
      <c r="K49" s="3"/>
      <c r="L49" s="3"/>
      <c r="M49" s="3"/>
    </row>
    <row r="50" spans="1:13" x14ac:dyDescent="0.2">
      <c r="A50" s="4" t="s">
        <v>24</v>
      </c>
      <c r="B50" s="12">
        <v>25000</v>
      </c>
      <c r="C50" s="12">
        <v>25000</v>
      </c>
      <c r="D50" s="12">
        <v>25000</v>
      </c>
      <c r="E50" s="12">
        <v>25000</v>
      </c>
      <c r="F50" s="12">
        <v>25000</v>
      </c>
      <c r="G50" s="12">
        <v>25000</v>
      </c>
      <c r="H50" s="12">
        <v>25000</v>
      </c>
      <c r="I50" s="12">
        <v>25000</v>
      </c>
      <c r="J50" s="12">
        <v>25000</v>
      </c>
      <c r="K50" s="12">
        <v>25000</v>
      </c>
      <c r="L50" s="12">
        <v>25000</v>
      </c>
      <c r="M50" s="12">
        <v>25000</v>
      </c>
    </row>
    <row r="51" spans="1:13" x14ac:dyDescent="0.2">
      <c r="A51" s="4" t="s">
        <v>25</v>
      </c>
      <c r="B51" s="12">
        <f t="shared" ref="B51:M51" si="14">B13</f>
        <v>-300</v>
      </c>
      <c r="C51" s="12">
        <f t="shared" si="14"/>
        <v>-400</v>
      </c>
      <c r="D51" s="12">
        <f t="shared" si="14"/>
        <v>0</v>
      </c>
      <c r="E51" s="12">
        <f t="shared" si="14"/>
        <v>400</v>
      </c>
      <c r="F51" s="12">
        <f t="shared" si="14"/>
        <v>1400</v>
      </c>
      <c r="G51" s="12">
        <f t="shared" si="14"/>
        <v>3400</v>
      </c>
      <c r="H51" s="12">
        <f t="shared" si="14"/>
        <v>6400</v>
      </c>
      <c r="I51" s="12">
        <f t="shared" si="14"/>
        <v>10400</v>
      </c>
      <c r="J51" s="12">
        <f t="shared" si="14"/>
        <v>15400</v>
      </c>
      <c r="K51" s="12">
        <f t="shared" si="14"/>
        <v>21400</v>
      </c>
      <c r="L51" s="12">
        <f t="shared" si="14"/>
        <v>28400</v>
      </c>
      <c r="M51" s="12">
        <f t="shared" si="14"/>
        <v>36400</v>
      </c>
    </row>
    <row r="52" spans="1:13" x14ac:dyDescent="0.2">
      <c r="A52" s="5" t="s">
        <v>28</v>
      </c>
      <c r="B52" s="8">
        <f>SUM(B50:B51)</f>
        <v>24700</v>
      </c>
      <c r="C52" s="8">
        <f>SUM(C50:C51)</f>
        <v>24600</v>
      </c>
      <c r="D52" s="8">
        <f t="shared" ref="D52:H52" si="15">SUM(D50:D51)</f>
        <v>25000</v>
      </c>
      <c r="E52" s="8">
        <f t="shared" si="15"/>
        <v>25400</v>
      </c>
      <c r="F52" s="8">
        <f t="shared" si="15"/>
        <v>26400</v>
      </c>
      <c r="G52" s="8">
        <f t="shared" si="15"/>
        <v>28400</v>
      </c>
      <c r="H52" s="8">
        <f t="shared" si="15"/>
        <v>31400</v>
      </c>
      <c r="I52" s="8">
        <f>SUM(I50:I51)</f>
        <v>35400</v>
      </c>
      <c r="J52" s="8">
        <f t="shared" ref="J52:M52" si="16">SUM(J50:J51)</f>
        <v>40400</v>
      </c>
      <c r="K52" s="8">
        <f t="shared" si="16"/>
        <v>46400</v>
      </c>
      <c r="L52" s="8">
        <f t="shared" si="16"/>
        <v>53400</v>
      </c>
      <c r="M52" s="8">
        <f t="shared" si="16"/>
        <v>61400</v>
      </c>
    </row>
    <row r="53" spans="1:13" ht="17" thickBot="1" x14ac:dyDescent="0.25">
      <c r="A53" s="3"/>
      <c r="B53" s="3"/>
      <c r="C53" s="3"/>
      <c r="D53" s="3"/>
      <c r="E53" s="3"/>
      <c r="F53" s="3"/>
      <c r="G53" s="3"/>
      <c r="H53" s="3"/>
      <c r="I53" s="3"/>
      <c r="J53" s="3"/>
      <c r="K53" s="3"/>
      <c r="L53" s="3"/>
      <c r="M53" s="3"/>
    </row>
    <row r="54" spans="1:13" x14ac:dyDescent="0.2">
      <c r="A54" s="13" t="s">
        <v>13</v>
      </c>
      <c r="B54" s="14">
        <v>11</v>
      </c>
      <c r="C54" s="3"/>
      <c r="D54" s="3"/>
      <c r="E54" s="3"/>
      <c r="F54" s="3"/>
      <c r="G54" s="3"/>
      <c r="H54" s="3"/>
      <c r="I54" s="3"/>
      <c r="J54" s="3"/>
      <c r="K54" s="3"/>
      <c r="L54" s="3"/>
      <c r="M54" s="3"/>
    </row>
    <row r="55" spans="1:13" ht="17" thickBot="1" x14ac:dyDescent="0.25">
      <c r="A55" s="15" t="s">
        <v>15</v>
      </c>
      <c r="B55" s="16">
        <v>7</v>
      </c>
      <c r="C55" s="3"/>
      <c r="D55" s="3"/>
      <c r="E55" s="3"/>
      <c r="F55" s="3"/>
      <c r="G55" s="3"/>
      <c r="H55" s="3"/>
      <c r="I55" s="3"/>
      <c r="J55" s="3"/>
      <c r="K55" s="3"/>
      <c r="L55" s="3"/>
      <c r="M55" s="3"/>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Svarød</dc:creator>
  <cp:lastModifiedBy>Benjamin Svarød</cp:lastModifiedBy>
  <dcterms:created xsi:type="dcterms:W3CDTF">2025-03-04T05:25:36Z</dcterms:created>
  <dcterms:modified xsi:type="dcterms:W3CDTF">2025-03-04T07:29:52Z</dcterms:modified>
</cp:coreProperties>
</file>